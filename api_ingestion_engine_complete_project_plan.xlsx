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3ded3f5b7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419139cff0a41d6"/>
    <x:sheet xmlns:r="http://schemas.openxmlformats.org/officeDocument/2006/relationships" name="Inputs" sheetId="2" r:id="R95d4020f8ca74a33"/>
    <x:sheet xmlns:r="http://schemas.openxmlformats.org/officeDocument/2006/relationships" name="Master" sheetId="3" r:id="R9e368a5ec3344231"/>
    <x:sheet xmlns:r="http://schemas.openxmlformats.org/officeDocument/2006/relationships" name="Policy" sheetId="4" r:id="R8e4efa23057c4977"/>
    <x:sheet xmlns:r="http://schemas.openxmlformats.org/officeDocument/2006/relationships" name="Process" sheetId="5" r:id="R859b445a2d1f482a"/>
    <x:sheet xmlns:r="http://schemas.openxmlformats.org/officeDocument/2006/relationships" name="Procedure" sheetId="6" r:id="Ref4d6429644b44a5"/>
    <x:sheet xmlns:r="http://schemas.openxmlformats.org/officeDocument/2006/relationships" name="Design" sheetId="7" r:id="R4969c257c14f422a"/>
    <x:sheet xmlns:r="http://schemas.openxmlformats.org/officeDocument/2006/relationships" name="Implementation" sheetId="8" r:id="R56674e696af84ee4"/>
    <x:sheet xmlns:r="http://schemas.openxmlformats.org/officeDocument/2006/relationships" name="Summary" sheetId="9" r:id="R699f0e390e1c44af"/>
    <x:sheet xmlns:r="http://schemas.openxmlformats.org/officeDocument/2006/relationships" name="Governance_Register" sheetId="10" r:id="Rbc6e9dab077d45bb"/>
    <x:sheet xmlns:r="http://schemas.openxmlformats.org/officeDocument/2006/relationships" name="RACI" sheetId="11" r:id="R71df5adbadb442e5"/>
    <x:sheet xmlns:r="http://schemas.openxmlformats.org/officeDocument/2006/relationships" name="RAID" sheetId="12" r:id="R7475ea141e0d49a4"/>
    <x:sheet xmlns:r="http://schemas.openxmlformats.org/officeDocument/2006/relationships" name="Onboarding_Waves" sheetId="13" r:id="Rfeb3626967c94234"/>
    <x:sheet xmlns:r="http://schemas.openxmlformats.org/officeDocument/2006/relationships" name="P0-P3_Matrix" sheetId="14" r:id="R062bd2f260624d3b"/>
    <x:sheet xmlns:r="http://schemas.openxmlformats.org/officeDocument/2006/relationships" name="Gantt" sheetId="15" r:id="R0a66c2a70c35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0.0"/>
    <x:numFmt numFmtId="166" formatCode="0.0%"/>
    <x:numFmt numFmtId="167" formatCode="&quot;W&quot;0"/>
  </x:numFmts>
  <x:fonts count="10">
    <x:font>
      <x:sz val="11"/>
      <x:color theme="1"/>
      <x:name val="Calibri"/>
      <x:family val="2"/>
      <x:scheme val="minor"/>
    </x:font>
    <x:font>
      <x:b/>
      <x:sz val="14"/>
    </x:font>
    <x:font>
      <x:b/>
      <x:color rgb="001F4E79"/>
    </x:font>
    <x:font>
      <x:b/>
    </x:font>
    <x:font>
      <x:b/>
      <x:color rgb="000000FF"/>
    </x:font>
    <x:font>
      <x:b/>
      <x:sz val="16"/>
    </x:font>
    <x:font>
      <x:b/>
      <x:sz val="12"/>
    </x:font>
    <x:font/>
    <x:font>
      <x:i/>
      <x:color rgb="00555555"/>
    </x:font>
    <x:font>
      <x:b/>
      <x:color rgb="00FFFFFF"/>
    </x:font>
  </x:fonts>
  <x:fills count="5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  <x:fill>
      <x:patternFill patternType="solid">
        <x:fgColor rgb="00E2EFDA"/>
      </x:patternFill>
    </x:fill>
  </x:fills>
  <x:borders count="4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  <x:border>
      <x:top style="thin">
        <x:color rgb="00A6A6A6"/>
      </x:top>
      <x:bottom style="thin">
        <x:color rgb="00A6A6A6"/>
      </x:bottom>
    </x:border>
    <x:border>
      <x:left style="thin">
        <x:color rgb="00A6A6A6"/>
      </x:left>
      <x:right style="medium">
        <x:color rgb="001F4E79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5" fillId="0" borderId="0" xfId="0"/>
    <x:xf numFmtId="0" fontId="6" fillId="0" borderId="0" xfId="0"/>
    <x:xf numFmtId="0" fontId="7" fillId="0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1" fillId="0" borderId="0" xfId="0"/>
    <x:xf numFmtId="0" fontId="2" fillId="0" borderId="0" xfId="0"/>
    <x:xf numFmtId="0" fontId="3" fillId="0" borderId="1" xfId="0" applyAlignment="1">
      <x:alignment horizontal="left" vertical="top" wrapText="1"/>
    </x:xf>
    <x:xf numFmtId="164" fontId="4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4" fillId="2" borderId="1" xfId="0" applyAlignment="1">
      <x:alignment horizontal="center" vertical="center" wrapText="1"/>
    </x:xf>
    <x:xf numFmtId="0" fontId="8" fillId="0" borderId="0" xfId="0"/>
    <x:xf numFmtId="0" fontId="9" fillId="3" borderId="1" xfId="0" applyAlignment="1">
      <x:alignment horizontal="center" vertical="center" wrapText="1"/>
    </x:xf>
    <x:xf numFmtId="1" fontId="0" fillId="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 vertical="center" wrapText="1"/>
    </x:xf>
    <x:xf numFmtId="165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0" fillId="4" borderId="1" xfId="0" applyAlignment="1">
      <x:alignment horizontal="left" vertical="top" wrapText="1"/>
    </x:xf>
    <x:xf numFmtId="1" fontId="0" fillId="4" borderId="1" xfId="0" applyAlignment="1">
      <x:alignment horizontal="center" vertical="center" wrapText="1"/>
    </x:xf>
    <x:xf numFmtId="0" fontId="0" fillId="4" borderId="1" xfId="0" applyAlignment="1">
      <x:alignment vertical="top" wrapText="1"/>
    </x:xf>
    <x:xf numFmtId="0" fontId="0" fillId="4" borderId="1" xfId="0" applyAlignment="1">
      <x:alignment horizontal="center" vertical="center" wrapText="1"/>
    </x:xf>
    <x:xf numFmtId="165" fontId="0" fillId="4" borderId="1" xfId="0" applyAlignment="1">
      <x:alignment horizontal="center" vertical="center" wrapText="1"/>
    </x:xf>
    <x:xf numFmtId="164" fontId="0" fillId="4" borderId="1" xfId="0" applyAlignment="1">
      <x:alignment horizontal="center" vertical="center" wrapText="1"/>
    </x:xf>
    <x:xf numFmtId="0" fontId="3" fillId="0" borderId="0" xfId="0" applyAlignment="1">
      <x:alignment horizontal="left" vertical="top" wrapText="1"/>
    </x:xf>
    <x:xf numFmtId="0" fontId="0" fillId="0" borderId="0" xfId="0" applyAlignment="1">
      <x:alignment horizontal="center" vertical="center" wrapText="1"/>
    </x:xf>
    <x:xf numFmtId="166" fontId="0" fillId="0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166" fontId="3" fillId="0" borderId="1" xfId="0" applyAlignment="1">
      <x:alignment horizontal="center" vertical="center" wrapText="1"/>
    </x:xf>
    <x:xf numFmtId="164" fontId="0" fillId="0" borderId="1" xfId="0" applyAlignment="1">
      <x:alignment horizontal="left" vertical="top" wrapText="1"/>
    </x:xf>
    <x:xf numFmtId="0" fontId="3" fillId="0" borderId="1" xfId="0"/>
    <x:xf numFmtId="165" fontId="3" fillId="0" borderId="1" xfId="0"/>
    <x:xf numFmtId="0" fontId="9" fillId="3" borderId="3" xfId="0" applyAlignment="1">
      <x:alignment horizontal="center" vertical="center" wrapText="1"/>
    </x:xf>
    <x:xf numFmtId="167" fontId="9" fillId="3" borderId="1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</x:cellXfs>
  <x:cellStyles count="1">
    <x:cellStyle name="Normal" xfId="0"/>
  </x:cellStyles>
  <x:dxfs count="7">
    <x:dxf>
      <x:fill>
        <x:patternFill>
          <x:bgColor rgb="00FFC7CE"/>
        </x:patternFill>
      </x:fill>
    </x:dxf>
    <x:dxf>
      <x:fill>
        <x:patternFill>
          <x:bgColor rgb="00FFEB9C"/>
        </x:patternFill>
      </x:fill>
    </x:dxf>
    <x:dxf>
      <x:fill>
        <x:patternFill>
          <x:bgColor rgb="00D9E1F2"/>
        </x:patternFill>
      </x:fill>
    </x:dxf>
    <x:dxf>
      <x:fill>
        <x:patternFill>
          <x:bgColor rgb="00E7E6E6"/>
        </x:patternFill>
      </x:fill>
    </x:dxf>
    <x:dxf>
      <x:fill>
        <x:patternFill>
          <x:bgColor rgb="00C6EFCE"/>
        </x:patternFill>
      </x:fill>
    </x:dxf>
    <x:dxf>
      <x:fill>
        <x:patternFill>
          <x:bgColor rgb="00F8CBAD"/>
        </x:patternFill>
      </x:fill>
    </x:dxf>
    <x:dxf>
      <x:fill>
        <x:patternFill>
          <x:bgColor rgb="004F81B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95a0e576f4ea2" /><Relationship Type="http://schemas.openxmlformats.org/officeDocument/2006/relationships/theme" Target="/xl/theme/theme1.xml" Id="R95352f97e31b41bd" /><Relationship Type="http://schemas.openxmlformats.org/officeDocument/2006/relationships/sharedStrings" Target="/xl/sharedStrings.xml" Id="Rb6909829a6b14d25" /><Relationship Type="http://schemas.openxmlformats.org/officeDocument/2006/relationships/worksheet" Target="/xl/worksheets/sheet1.xml" Id="Ra419139cff0a41d6" /><Relationship Type="http://schemas.openxmlformats.org/officeDocument/2006/relationships/worksheet" Target="/xl/worksheets/sheet2.xml" Id="R95d4020f8ca74a33" /><Relationship Type="http://schemas.openxmlformats.org/officeDocument/2006/relationships/worksheet" Target="/xl/worksheets/sheet3.xml" Id="R9e368a5ec3344231" /><Relationship Type="http://schemas.openxmlformats.org/officeDocument/2006/relationships/worksheet" Target="/xl/worksheets/sheet4.xml" Id="R8e4efa23057c4977" /><Relationship Type="http://schemas.openxmlformats.org/officeDocument/2006/relationships/worksheet" Target="/xl/worksheets/sheet5.xml" Id="R859b445a2d1f482a" /><Relationship Type="http://schemas.openxmlformats.org/officeDocument/2006/relationships/worksheet" Target="/xl/worksheets/sheet6.xml" Id="Ref4d6429644b44a5" /><Relationship Type="http://schemas.openxmlformats.org/officeDocument/2006/relationships/worksheet" Target="/xl/worksheets/sheet7.xml" Id="R4969c257c14f422a" /><Relationship Type="http://schemas.openxmlformats.org/officeDocument/2006/relationships/worksheet" Target="/xl/worksheets/sheet8.xml" Id="R56674e696af84ee4" /><Relationship Type="http://schemas.openxmlformats.org/officeDocument/2006/relationships/worksheet" Target="/xl/worksheets/sheet9.xml" Id="R699f0e390e1c44af" /><Relationship Type="http://schemas.openxmlformats.org/officeDocument/2006/relationships/worksheet" Target="/xl/worksheets/sheet10.xml" Id="Rbc6e9dab077d45bb" /><Relationship Type="http://schemas.openxmlformats.org/officeDocument/2006/relationships/worksheet" Target="/xl/worksheets/sheet11.xml" Id="R71df5adbadb442e5" /><Relationship Type="http://schemas.openxmlformats.org/officeDocument/2006/relationships/worksheet" Target="/xl/worksheets/sheet12.xml" Id="R7475ea141e0d49a4" /><Relationship Type="http://schemas.openxmlformats.org/officeDocument/2006/relationships/worksheet" Target="/xl/worksheets/sheet13.xml" Id="Rfeb3626967c94234" /><Relationship Type="http://schemas.openxmlformats.org/officeDocument/2006/relationships/worksheet" Target="/xl/worksheets/sheet14.xml" Id="R062bd2f260624d3b" /><Relationship Type="http://schemas.openxmlformats.org/officeDocument/2006/relationships/worksheet" Target="/xl/worksheets/sheet15.xml" Id="R0a66c2a70c3543e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1" t="inlineStr">
        <x:is>
          <x:t xml:space="preserve">API Ingestion Engine – Complete Productionization Project Plan</x:t>
        </x:is>
      </x:c>
    </x:row>
    <x:row r="3">
      <x:c r="A3" s="2" t="inlineStr">
        <x:is>
          <x:t xml:space="preserve">How to use</x:t>
        </x:is>
      </x:c>
    </x:row>
    <x:row r="5">
      <x:c r="A5" s="3" t="inlineStr">
        <x:is>
          <x:t xml:space="preserve">1) Go to the Inputs tab and set the Planned Start Date and horizon.</x:t>
        </x:is>
      </x:c>
    </x:row>
    <x:row r="6">
      <x:c r="A6" s="4" t="inlineStr">
        <x:is>
          <x:t xml:space="preserve">2) Use the Master tab to filter by Category (Policy/Process/Procedure/Design/Implementation), Workstream, or Phase.</x:t>
        </x:is>
      </x:c>
    </x:row>
    <x:row r="7">
      <x:c r="A7" s="4" t="inlineStr">
        <x:is>
          <x:t xml:space="preserve">3) Policy/Process/Procedure/Design/Implementation tabs are curated views for governance and delivery tracking.</x:t>
        </x:is>
      </x:c>
    </x:row>
    <x:row r="8">
      <x:c r="A8" s="4" t="inlineStr">
        <x:is>
          <x:t xml:space="preserve">4) Update Status and Notes/Evidence Link as work progresses; dates calculate automatically.</x:t>
        </x:is>
      </x:c>
    </x:row>
    <x:row r="9">
      <x:c r="A9" s="4" t="inlineStr">
        <x:is>
          <x:t xml:space="preserve">5) Use the Gantt tab for a week-based view of key deliverables and milestones.</x:t>
        </x:is>
      </x:c>
    </x:row>
    <x:row r="10">
      <x:c r="A10" s="4" t="inlineStr">
        <x:is>
          <x:t xml:space="preserve"/>
        </x:is>
      </x:c>
    </x:row>
    <x:row r="11">
      <x:c r="A11" s="4" t="inlineStr">
        <x:is>
          <x:t xml:space="preserve">Conventions</x:t>
        </x:is>
      </x:c>
    </x:row>
    <x:row r="12">
      <x:c r="A12" s="4" t="inlineStr">
        <x:is>
          <x:t xml:space="preserve">- P0–P3 = incident/defect priority aligned to the Severity Policy task (PLY-02).</x:t>
        </x:is>
      </x:c>
    </x:row>
    <x:row r="13">
      <x:c r="A13" s="4" t="inlineStr">
        <x:is>
          <x:t xml:space="preserve">- Effort is in person-days (estimates). Duration is in calendar days for scheduling (adjust if you prefer business-day scheduling).</x:t>
        </x:is>
      </x:c>
    </x:row>
    <x:row r="14">
      <x:c r="A14" s="4" t="inlineStr">
        <x:is>
          <x:t xml:space="preserve">- Dependencies use Task IDs (comma-separated).</x:t>
        </x:is>
      </x:c>
    </x:row>
    <x:row r="15">
      <x:c r="A15" s="4" t="inlineStr">
        <x:is>
          <x:t xml:space="preserve"/>
        </x:is>
      </x:c>
    </x:row>
    <x:row r="16">
      <x:c r="A16" s="4" t="inlineStr">
        <x:is>
          <x:t xml:space="preserve">Core operational artifacts included</x:t>
        </x:is>
      </x:c>
    </x:row>
    <x:row r="17">
      <x:c r="A17" s="4" t="inlineStr">
        <x:is>
          <x:t xml:space="preserve">- Policies, processes, procedures/runbooks, operations handbook, alerting &amp; on-call model, credential rotation, CI/CD promotion gates, audit/lineage, DQ/DLQ/replay.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customWidth="1"/>
    <x:col min="2" max="2" width="22" customWidth="1"/>
    <x:col min="3" max="3" width="70" customWidth="1"/>
    <x:col min="4" max="4" width="2" customWidth="1"/>
    <x:col min="5" max="5" width="2" customWidth="1"/>
  </x:cols>
  <x:sheetData>
    <x:row r="1">
      <x:c r="A1" s="5" t="inlineStr">
        <x:is>
          <x:t xml:space="preserve">API Ingestion Engine – Program Inputs</x:t>
        </x:is>
      </x:c>
    </x:row>
    <x:row r="2">
      <x:c r="A2" s="6" t="inlineStr">
        <x:is>
          <x:t xml:space="preserve">Edit the blue cells only</x:t>
        </x:is>
      </x:c>
    </x:row>
    <x:row r="3" ht="20" customHeight="1">
      <x:c r="A3" s="7" t="inlineStr">
        <x:is>
          <x:t xml:space="preserve">Planned Start Date</x:t>
        </x:is>
      </x:c>
      <x:c r="B3" s="8" t="n">
        <x:v>46076</x:v>
      </x:c>
      <x:c r="C3" s="9" t="inlineStr">
        <x:is>
          <x:t xml:space="preserve">Date the plan starts (edit this).</x:t>
        </x:is>
      </x:c>
    </x:row>
    <x:row r="4" ht="20" customHeight="1">
      <x:c r="A4" s="7" t="inlineStr">
        <x:is>
          <x:t xml:space="preserve">Days per Week (for schedule)</x:t>
        </x:is>
      </x:c>
      <x:c r="B4" s="10" t="n">
        <x:v>7</x:v>
      </x:c>
      <x:c r="C4" s="9" t="inlineStr">
        <x:is>
          <x:t xml:space="preserve">Used to convert weeks → dates.</x:t>
        </x:is>
      </x:c>
    </x:row>
    <x:row r="5" ht="20" customHeight="1">
      <x:c r="A5" s="7" t="inlineStr">
        <x:is>
          <x:t xml:space="preserve">Plan Horizon (weeks)</x:t>
        </x:is>
      </x:c>
      <x:c r="B5" s="10" t="n">
        <x:v>24</x:v>
      </x:c>
      <x:c r="C5" s="9" t="inlineStr">
        <x:is>
          <x:t xml:space="preserve">Used for the Gantt view.</x:t>
        </x:is>
      </x:c>
    </x:row>
    <x:row r="6" ht="20" customHeight="1">
      <x:c r="A6" s="7" t="inlineStr">
        <x:is>
          <x:t xml:space="preserve">Workdays per Week (for effort planning)</x:t>
        </x:is>
      </x:c>
      <x:c r="B6" s="10" t="n">
        <x:v>5</x:v>
      </x:c>
      <x:c r="C6" s="9" t="inlineStr">
        <x:is>
          <x:t xml:space="preserve">Used for capacity (optional).</x:t>
        </x:is>
      </x:c>
    </x:row>
    <x:row r="7" ht="20" customHeight="1">
      <x:c r="A7" s="7" t="inlineStr">
        <x:is>
          <x:t xml:space="preserve">Default Timezone</x:t>
        </x:is>
      </x:c>
      <x:c r="B7" s="10" t="inlineStr">
        <x:is>
          <x:t xml:space="preserve">Australia/Sydney</x:t>
        </x:is>
      </x:c>
      <x:c r="C7" s="9" t="inlineStr">
        <x:is>
          <x:t xml:space="preserve">Reference timezone for ops.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Master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DSN-01</x:t>
        </x:is>
      </x:c>
      <x:c r="B4" s="9" t="inlineStr">
        <x:is>
          <x:t xml:space="preserve">Design</x:t>
        </x:is>
      </x:c>
      <x:c r="C4" s="9" t="inlineStr">
        <x:is>
          <x:t xml:space="preserve">Architecture</x:t>
        </x:is>
      </x:c>
      <x:c r="D4" s="13" t="n">
        <x:v>0</x:v>
      </x:c>
      <x:c r="E4" s="9" t="inlineStr">
        <x:is>
          <x:t xml:space="preserve">Reference Architecture</x:t>
        </x:is>
      </x:c>
      <x:c r="F4" s="9" t="inlineStr">
        <x:is>
          <x:t xml:space="preserve">Define target reference architecture</x:t>
        </x:is>
      </x:c>
      <x:c r="G4" s="14" t="inlineStr">
        <x:is>
          <x:t xml:space="preserve">Define control plane, compute model, bronze contract, orchestration, observability, security, lineage, and environments.</x:t>
        </x:is>
      </x:c>
      <x:c r="H4" s="14" t="inlineStr">
        <x:is>
          <x:t xml:space="preserve">Architecture diagram + ADRs</x:t>
        </x:is>
      </x:c>
      <x:c r="I4" s="9" t="inlineStr">
        <x:is>
          <x:t xml:space="preserve">Data Platform Architect</x:t>
        </x:is>
      </x:c>
      <x:c r="J4" s="15" t="inlineStr">
        <x:is>
          <x:t xml:space="preserve">A</x:t>
        </x:is>
      </x:c>
      <x:c r="K4" s="15" t="inlineStr">
        <x:is>
          <x:t xml:space="preserve">P0</x:t>
        </x:is>
      </x:c>
      <x:c r="L4" s="15" t="inlineStr">
        <x:is>
          <x:t xml:space="preserve">Not Started</x:t>
        </x:is>
      </x:c>
      <x:c r="M4" s="16" t="n">
        <x:v>8</x:v>
      </x:c>
      <x:c r="N4" s="13" t="n">
        <x:v>10</x:v>
      </x:c>
      <x:c r="O4" s="13" t="n">
        <x:v>1</x:v>
      </x:c>
      <x:c r="P4" s="13">
        <x:f>O4+ROUNDUP(N4/Inputs!$B$4,0)-1</x:f>
        <x:v>2</x:v>
      </x:c>
      <x:c r="Q4" s="17">
        <x:f>Inputs!$B$3+(O4-1)*Inputs!$B$4</x:f>
        <x:v>46076</x:v>
      </x:c>
      <x:c r="R4" s="17">
        <x:f>Q4+N4-1</x:f>
        <x:v>46085</x:v>
      </x:c>
      <x:c r="S4" s="9" t="inlineStr">
        <x:is>
          <x:t xml:space="preserve">PLY-01</x:t>
        </x:is>
      </x:c>
      <x:c r="T4" s="15" t="inlineStr">
        <x:is>
          <x:t xml:space="preserve">N</x:t>
        </x:is>
      </x:c>
      <x:c r="U4" s="14" t="inlineStr">
        <x:is>
          <x:t xml:space="preserve"/>
        </x:is>
      </x:c>
    </x:row>
    <x:row r="5" ht="42" customHeight="1">
      <x:c r="A5" s="9" t="inlineStr">
        <x:is>
          <x:t xml:space="preserve">DSN-02</x:t>
        </x:is>
      </x:c>
      <x:c r="B5" s="9" t="inlineStr">
        <x:is>
          <x:t xml:space="preserve">Design</x:t>
        </x:is>
      </x:c>
      <x:c r="C5" s="9" t="inlineStr">
        <x:is>
          <x:t xml:space="preserve">Control Plane</x:t>
        </x:is>
      </x:c>
      <x:c r="D5" s="13" t="n">
        <x:v>1</x:v>
      </x:c>
      <x:c r="E5" s="9" t="inlineStr">
        <x:is>
          <x:t xml:space="preserve">Metadata Registry</x:t>
        </x:is>
      </x:c>
      <x:c r="F5" s="9" t="inlineStr">
        <x:is>
          <x:t xml:space="preserve">Design control plane schema (sources/endpoints/state/runs/errors)</x:t>
        </x:is>
      </x:c>
      <x:c r="G5" s="14" t="inlineStr">
        <x:is>
          <x:t xml:space="preserve">Define Delta table schemas, keys, partitioning, indexing strategy, ownership fields, SLO fields.</x:t>
        </x:is>
      </x:c>
      <x:c r="H5" s="14" t="inlineStr">
        <x:is>
          <x:t xml:space="preserve">Control plane data model spec</x:t>
        </x:is>
      </x:c>
      <x:c r="I5" s="9" t="inlineStr">
        <x:is>
          <x:t xml:space="preserve">Data Platform Architect</x:t>
        </x:is>
      </x:c>
      <x:c r="J5" s="15" t="inlineStr">
        <x:is>
          <x:t xml:space="preserve">A</x:t>
        </x:is>
      </x:c>
      <x:c r="K5" s="15" t="inlineStr">
        <x:is>
          <x:t xml:space="preserve">P0</x:t>
        </x:is>
      </x:c>
      <x:c r="L5" s="15" t="inlineStr">
        <x:is>
          <x:t xml:space="preserve">Not Started</x:t>
        </x:is>
      </x:c>
      <x:c r="M5" s="16" t="n">
        <x:v>6</x:v>
      </x:c>
      <x:c r="N5" s="13" t="n">
        <x:v>7</x:v>
      </x:c>
      <x:c r="O5" s="13" t="n">
        <x:v>2</x:v>
      </x:c>
      <x:c r="P5" s="13">
        <x:f>O5+ROUNDUP(N5/Inputs!$B$4,0)-1</x:f>
        <x:v>2</x:v>
      </x:c>
      <x:c r="Q5" s="17">
        <x:f>Inputs!$B$3+(O5-1)*Inputs!$B$4</x:f>
        <x:v>46083</x:v>
      </x:c>
      <x:c r="R5" s="17">
        <x:f>Q5+N5-1</x:f>
        <x:v>46089</x:v>
      </x:c>
      <x:c r="S5" s="9" t="inlineStr">
        <x:is>
          <x:t xml:space="preserve">DSN-01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DSN-03</x:t>
        </x:is>
      </x:c>
      <x:c r="B6" s="9" t="inlineStr">
        <x:is>
          <x:t xml:space="preserve">Design</x:t>
        </x:is>
      </x:c>
      <x:c r="C6" s="9" t="inlineStr">
        <x:is>
          <x:t xml:space="preserve">Connector SDK</x:t>
        </x:is>
      </x:c>
      <x:c r="D6" s="13" t="n">
        <x:v>1</x:v>
      </x:c>
      <x:c r="E6" s="9" t="inlineStr">
        <x:is>
          <x:t xml:space="preserve">Connector Interface</x:t>
        </x:is>
      </x:c>
      <x:c r="F6" s="9" t="inlineStr">
        <x:is>
          <x:t xml:space="preserve">Design connector SDK interface &amp; packaging</x:t>
        </x:is>
      </x:c>
      <x:c r="G6" s="14" t="inlineStr">
        <x:is>
          <x:t xml:space="preserve">Define connector contract methods, error handling conventions, versioning, and packaging (wheel).</x:t>
        </x:is>
      </x:c>
      <x:c r="H6" s="14" t="inlineStr">
        <x:is>
          <x:t xml:space="preserve">Connector SDK spec</x:t>
        </x:is>
      </x:c>
      <x:c r="I6" s="9" t="inlineStr">
        <x:is>
          <x:t xml:space="preserve">Data Engineer</x:t>
        </x:is>
      </x:c>
      <x:c r="J6" s="15" t="inlineStr">
        <x:is>
          <x:t xml:space="preserve">R</x:t>
        </x:is>
      </x:c>
      <x:c r="K6" s="15" t="inlineStr">
        <x:is>
          <x:t xml:space="preserve">P0</x:t>
        </x:is>
      </x:c>
      <x:c r="L6" s="15" t="inlineStr">
        <x:is>
          <x:t xml:space="preserve">Not Started</x:t>
        </x:is>
      </x:c>
      <x:c r="M6" s="16" t="n">
        <x:v>5</x:v>
      </x:c>
      <x:c r="N6" s="13" t="n">
        <x:v>6</x:v>
      </x:c>
      <x:c r="O6" s="13" t="n">
        <x:v>2</x:v>
      </x:c>
      <x:c r="P6" s="13">
        <x:f>O6+ROUNDUP(N6/Inputs!$B$4,0)-1</x:f>
        <x:v>2</x:v>
      </x:c>
      <x:c r="Q6" s="17">
        <x:f>Inputs!$B$3+(O6-1)*Inputs!$B$4</x:f>
        <x:v>46083</x:v>
      </x:c>
      <x:c r="R6" s="17">
        <x:f>Q6+N6-1</x:f>
        <x:v>46088</x:v>
      </x:c>
      <x:c r="S6" s="9" t="inlineStr">
        <x:is>
          <x:t xml:space="preserve">DSN-01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DSN-04</x:t>
        </x:is>
      </x:c>
      <x:c r="B7" s="9" t="inlineStr">
        <x:is>
          <x:t xml:space="preserve">Design</x:t>
        </x:is>
      </x:c>
      <x:c r="C7" s="9" t="inlineStr">
        <x:is>
          <x:t xml:space="preserve">Runtime</x:t>
        </x:is>
      </x:c>
      <x:c r="D7" s="13" t="n">
        <x:v>1</x:v>
      </x:c>
      <x:c r="E7" s="9" t="inlineStr">
        <x:is>
          <x:t xml:space="preserve">Extraction Runtime</x:t>
        </x:is>
      </x:c>
      <x:c r="F7" s="9" t="inlineStr">
        <x:is>
          <x:t xml:space="preserve">Design extraction runtime behaviors</x:t>
        </x:is>
      </x:c>
      <x:c r="G7" s="14" t="inlineStr">
        <x:is>
          <x:t xml:space="preserve">Retry/backoff, pagination patterns, throttling, circuit breaker, incremental strategies, idempotency/dedupe.</x:t>
        </x:is>
      </x:c>
      <x:c r="H7" s="14" t="inlineStr">
        <x:is>
          <x:t xml:space="preserve">Runtime design spec</x:t>
        </x:is>
      </x:c>
      <x:c r="I7" s="9" t="inlineStr">
        <x:is>
          <x:t xml:space="preserve">Data Engineer</x:t>
        </x:is>
      </x:c>
      <x:c r="J7" s="15" t="inlineStr">
        <x:is>
          <x:t xml:space="preserve">R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6</x:v>
      </x:c>
      <x:c r="N7" s="13" t="n">
        <x:v>7</x:v>
      </x:c>
      <x:c r="O7" s="13" t="n">
        <x:v>3</x:v>
      </x:c>
      <x:c r="P7" s="13">
        <x:f>O7+ROUNDUP(N7/Inputs!$B$4,0)-1</x:f>
        <x:v>3</x:v>
      </x:c>
      <x:c r="Q7" s="17">
        <x:f>Inputs!$B$3+(O7-1)*Inputs!$B$4</x:f>
        <x:v>46090</x:v>
      </x:c>
      <x:c r="R7" s="17">
        <x:f>Q7+N7-1</x:f>
        <x:v>46096</x:v>
      </x:c>
      <x:c r="S7" s="9" t="inlineStr">
        <x:is>
          <x:t xml:space="preserve">DSN-03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9" t="inlineStr">
        <x:is>
          <x:t xml:space="preserve">DSN-05</x:t>
        </x:is>
      </x:c>
      <x:c r="B8" s="9" t="inlineStr">
        <x:is>
          <x:t xml:space="preserve">Design</x:t>
        </x:is>
      </x:c>
      <x:c r="C8" s="9" t="inlineStr">
        <x:is>
          <x:t xml:space="preserve">Bronze</x:t>
        </x:is>
      </x:c>
      <x:c r="D8" s="13" t="n">
        <x:v>1</x:v>
      </x:c>
      <x:c r="E8" s="9" t="inlineStr">
        <x:is>
          <x:t xml:space="preserve">Bronze Contract</x:t>
        </x:is>
      </x:c>
      <x:c r="F8" s="9" t="inlineStr">
        <x:is>
          <x:t xml:space="preserve">Design Bronze table contract</x:t>
        </x:is>
      </x:c>
      <x:c r="G8" s="14" t="inlineStr">
        <x:is>
          <x:t xml:space="preserve">Define required metadata columns, raw payload storage type, partitioning, naming, retention hooks.</x:t>
        </x:is>
      </x:c>
      <x:c r="H8" s="14" t="inlineStr">
        <x:is>
          <x:t xml:space="preserve">Bronze contract spec</x:t>
        </x:is>
      </x:c>
      <x:c r="I8" s="9" t="inlineStr">
        <x:is>
          <x:t xml:space="preserve">Data Platform Architect</x:t>
        </x:is>
      </x:c>
      <x:c r="J8" s="15" t="inlineStr">
        <x:is>
          <x:t xml:space="preserve">A</x:t>
        </x:is>
      </x:c>
      <x:c r="K8" s="15" t="inlineStr">
        <x:is>
          <x:t xml:space="preserve">P0</x:t>
        </x:is>
      </x:c>
      <x:c r="L8" s="15" t="inlineStr">
        <x:is>
          <x:t xml:space="preserve">Not Started</x:t>
        </x:is>
      </x:c>
      <x:c r="M8" s="16" t="n">
        <x:v>4</x:v>
      </x:c>
      <x:c r="N8" s="13" t="n">
        <x:v>5</x:v>
      </x:c>
      <x:c r="O8" s="13" t="n">
        <x:v>3</x:v>
      </x:c>
      <x:c r="P8" s="13">
        <x:f>O8+ROUNDUP(N8/Inputs!$B$4,0)-1</x:f>
        <x:v>3</x:v>
      </x:c>
      <x:c r="Q8" s="17">
        <x:f>Inputs!$B$3+(O8-1)*Inputs!$B$4</x:f>
        <x:v>46090</x:v>
      </x:c>
      <x:c r="R8" s="17">
        <x:f>Q8+N8-1</x:f>
        <x:v>46094</x:v>
      </x:c>
      <x:c r="S8" s="9" t="inlineStr">
        <x:is>
          <x:t xml:space="preserve">DSN-02</x:t>
        </x:is>
      </x:c>
      <x:c r="T8" s="15" t="inlineStr">
        <x:is>
          <x:t xml:space="preserve">N</x:t>
        </x:is>
      </x:c>
      <x:c r="U8" s="14" t="inlineStr">
        <x:is>
          <x:t xml:space="preserve"/>
        </x:is>
      </x:c>
    </x:row>
    <x:row r="9" ht="42" customHeight="1">
      <x:c r="A9" s="9" t="inlineStr">
        <x:is>
          <x:t xml:space="preserve">DSN-06</x:t>
        </x:is>
      </x:c>
      <x:c r="B9" s="9" t="inlineStr">
        <x:is>
          <x:t xml:space="preserve">Design</x:t>
        </x:is>
      </x:c>
      <x:c r="C9" s="9" t="inlineStr">
        <x:is>
          <x:t xml:space="preserve">Orchestration</x:t>
        </x:is>
      </x:c>
      <x:c r="D9" s="13" t="n">
        <x:v>1</x:v>
      </x:c>
      <x:c r="E9" s="9" t="inlineStr">
        <x:is>
          <x:t xml:space="preserve">Scheduling</x:t>
        </x:is>
      </x:c>
      <x:c r="F9" s="9" t="inlineStr">
        <x:is>
          <x:t xml:space="preserve">Design orchestration approach</x:t>
        </x:is>
      </x:c>
      <x:c r="G9" s="14" t="inlineStr">
        <x:is>
          <x:t xml:space="preserve">Controller job vs job-per-source strategy, concurrency controls, scheduling, backfill workflow pattern.</x:t>
        </x:is>
      </x:c>
      <x:c r="H9" s="14" t="inlineStr">
        <x:is>
          <x:t xml:space="preserve">Orchestration design spec</x:t>
        </x:is>
      </x:c>
      <x:c r="I9" s="9" t="inlineStr">
        <x:is>
          <x:t xml:space="preserve">Data Platform Architect</x:t>
        </x:is>
      </x:c>
      <x:c r="J9" s="15" t="inlineStr">
        <x:is>
          <x:t xml:space="preserve">A</x:t>
        </x:is>
      </x:c>
      <x:c r="K9" s="15" t="inlineStr">
        <x:is>
          <x:t xml:space="preserve">P1</x:t>
        </x:is>
      </x:c>
      <x:c r="L9" s="15" t="inlineStr">
        <x:is>
          <x:t xml:space="preserve">Not Started</x:t>
        </x:is>
      </x:c>
      <x:c r="M9" s="16" t="n">
        <x:v>4</x:v>
      </x:c>
      <x:c r="N9" s="13" t="n">
        <x:v>5</x:v>
      </x:c>
      <x:c r="O9" s="13" t="n">
        <x:v>3</x:v>
      </x:c>
      <x:c r="P9" s="13">
        <x:f>O9+ROUNDUP(N9/Inputs!$B$4,0)-1</x:f>
        <x:v>3</x:v>
      </x:c>
      <x:c r="Q9" s="17">
        <x:f>Inputs!$B$3+(O9-1)*Inputs!$B$4</x:f>
        <x:v>46090</x:v>
      </x:c>
      <x:c r="R9" s="17">
        <x:f>Q9+N9-1</x:f>
        <x:v>46094</x:v>
      </x:c>
      <x:c r="S9" s="9" t="inlineStr">
        <x:is>
          <x:t xml:space="preserve">DSN-01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DSN-16</x:t>
        </x:is>
      </x:c>
      <x:c r="B10" s="9" t="inlineStr">
        <x:is>
          <x:t xml:space="preserve">Design</x:t>
        </x:is>
      </x:c>
      <x:c r="C10" s="9" t="inlineStr">
        <x:is>
          <x:t xml:space="preserve">Compute</x:t>
        </x:is>
      </x:c>
      <x:c r="D10" s="13" t="n">
        <x:v>1</x:v>
      </x:c>
      <x:c r="E10" s="9" t="inlineStr">
        <x:is>
          <x:t xml:space="preserve">Compute Policies</x:t>
        </x:is>
      </x:c>
      <x:c r="F10" s="9" t="inlineStr">
        <x:is>
          <x:t xml:space="preserve">Design compute model &amp; cluster policies</x:t>
        </x:is>
      </x:c>
      <x:c r="G10" s="14" t="inlineStr">
        <x:is>
          <x:t xml:space="preserve">Define cluster/job compute, autoscaling, instance types, cost controls, cluster policies.</x:t>
        </x:is>
      </x:c>
      <x:c r="H10" s="14" t="inlineStr">
        <x:is>
          <x:t xml:space="preserve">Compute policy design</x:t>
        </x:is>
      </x:c>
      <x:c r="I10" s="9" t="inlineStr">
        <x:is>
          <x:t xml:space="preserve">DevOps/Platform Eng</x:t>
        </x:is>
      </x:c>
      <x:c r="J10" s="15" t="inlineStr">
        <x:is>
          <x:t xml:space="preserve">A</x:t>
        </x:is>
      </x:c>
      <x:c r="K10" s="15" t="inlineStr">
        <x:is>
          <x:t xml:space="preserve">P1</x:t>
        </x:is>
      </x:c>
      <x:c r="L10" s="15" t="inlineStr">
        <x:is>
          <x:t xml:space="preserve">Not Started</x:t>
        </x:is>
      </x:c>
      <x:c r="M10" s="16" t="n">
        <x:v>3</x:v>
      </x:c>
      <x:c r="N10" s="13" t="n">
        <x:v>4</x:v>
      </x:c>
      <x:c r="O10" s="13" t="n">
        <x:v>4</x:v>
      </x:c>
      <x:c r="P10" s="13">
        <x:f>O10+ROUNDUP(N10/Inputs!$B$4,0)-1</x:f>
        <x:v>4</x:v>
      </x:c>
      <x:c r="Q10" s="17">
        <x:f>Inputs!$B$3+(O10-1)*Inputs!$B$4</x:f>
        <x:v>46097</x:v>
      </x:c>
      <x:c r="R10" s="17">
        <x:f>Q10+N10-1</x:f>
        <x:v>46100</x:v>
      </x:c>
      <x:c r="S10" s="9" t="inlineStr">
        <x:is>
          <x:t xml:space="preserve">DSN-01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DSN-18</x:t>
        </x:is>
      </x:c>
      <x:c r="B11" s="9" t="inlineStr">
        <x:is>
          <x:t xml:space="preserve">Design</x:t>
        </x:is>
      </x:c>
      <x:c r="C11" s="9" t="inlineStr">
        <x:is>
          <x:t xml:space="preserve">Testing</x:t>
        </x:is>
      </x:c>
      <x:c r="D11" s="13" t="n">
        <x:v>1</x:v>
      </x:c>
      <x:c r="E11" s="9" t="inlineStr">
        <x:is>
          <x:t xml:space="preserve">Test Strategy</x:t>
        </x:is>
      </x:c>
      <x:c r="F11" s="9" t="inlineStr">
        <x:is>
          <x:t xml:space="preserve">Design testing strategy (unit/integration/contract)</x:t>
        </x:is>
      </x:c>
      <x:c r="G11" s="14" t="inlineStr">
        <x:is>
          <x:t xml:space="preserve">Define test harness, mocking patterns, golden responses, env gates, and smoke tests.</x:t>
        </x:is>
      </x:c>
      <x:c r="H11" s="14" t="inlineStr">
        <x:is>
          <x:t xml:space="preserve">Test strategy doc</x:t>
        </x:is>
      </x:c>
      <x:c r="I11" s="9" t="inlineStr">
        <x:is>
          <x:t xml:space="preserve">QA/Test</x:t>
        </x:is>
      </x:c>
      <x:c r="J11" s="15" t="inlineStr">
        <x:is>
          <x:t xml:space="preserve">A</x:t>
        </x:is>
      </x:c>
      <x:c r="K11" s="15" t="inlineStr">
        <x:is>
          <x:t xml:space="preserve">P1</x:t>
        </x:is>
      </x:c>
      <x:c r="L11" s="15" t="inlineStr">
        <x:is>
          <x:t xml:space="preserve">Not Started</x:t>
        </x:is>
      </x:c>
      <x:c r="M11" s="16" t="n">
        <x:v>4</x:v>
      </x:c>
      <x:c r="N11" s="13" t="n">
        <x:v>5</x:v>
      </x:c>
      <x:c r="O11" s="13" t="n">
        <x:v>4</x:v>
      </x:c>
      <x:c r="P11" s="13">
        <x:f>O11+ROUNDUP(N11/Inputs!$B$4,0)-1</x:f>
        <x:v>4</x:v>
      </x:c>
      <x:c r="Q11" s="17">
        <x:f>Inputs!$B$3+(O11-1)*Inputs!$B$4</x:f>
        <x:v>46097</x:v>
      </x:c>
      <x:c r="R11" s="17">
        <x:f>Q11+N11-1</x:f>
        <x:v>46101</x:v>
      </x:c>
      <x:c r="S11" s="9" t="inlineStr">
        <x:is>
          <x:t xml:space="preserve">DSN-03,DSN-14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DSN-07</x:t>
        </x:is>
      </x:c>
      <x:c r="B12" s="9" t="inlineStr">
        <x:is>
          <x:t xml:space="preserve">Design</x:t>
        </x:is>
      </x:c>
      <x:c r="C12" s="9" t="inlineStr">
        <x:is>
          <x:t xml:space="preserve">Security</x:t>
        </x:is>
      </x:c>
      <x:c r="D12" s="13" t="n">
        <x:v>2</x:v>
      </x:c>
      <x:c r="E12" s="9" t="inlineStr">
        <x:is>
          <x:t xml:space="preserve">Secrets &amp; Identity</x:t>
        </x:is>
      </x:c>
      <x:c r="F12" s="9" t="inlineStr">
        <x:is>
          <x:t xml:space="preserve">Design secrets integration &amp; auth patterns</x:t>
        </x:is>
      </x:c>
      <x:c r="G12" s="14" t="inlineStr">
        <x:is>
          <x:t xml:space="preserve">External secret manager integration, secret naming conventions, OAuth2 flows, token caching/refresh patterns.</x:t>
        </x:is>
      </x:c>
      <x:c r="H12" s="14" t="inlineStr">
        <x:is>
          <x:t xml:space="preserve">Security &amp; auth design spec</x:t>
        </x:is>
      </x:c>
      <x:c r="I12" s="9" t="inlineStr">
        <x:is>
          <x:t xml:space="preserve">Security/Identity Eng</x:t>
        </x:is>
      </x:c>
      <x:c r="J12" s="15" t="inlineStr">
        <x:is>
          <x:t xml:space="preserve">A</x:t>
        </x:is>
      </x:c>
      <x:c r="K12" s="15" t="inlineStr">
        <x:is>
          <x:t xml:space="preserve">P0</x:t>
        </x:is>
      </x:c>
      <x:c r="L12" s="15" t="inlineStr">
        <x:is>
          <x:t xml:space="preserve">Not Started</x:t>
        </x:is>
      </x:c>
      <x:c r="M12" s="16" t="n">
        <x:v>5</x:v>
      </x:c>
      <x:c r="N12" s="13" t="n">
        <x:v>6</x:v>
      </x:c>
      <x:c r="O12" s="13" t="n">
        <x:v>3</x:v>
      </x:c>
      <x:c r="P12" s="13">
        <x:f>O12+ROUNDUP(N12/Inputs!$B$4,0)-1</x:f>
        <x:v>3</x:v>
      </x:c>
      <x:c r="Q12" s="17">
        <x:f>Inputs!$B$3+(O12-1)*Inputs!$B$4</x:f>
        <x:v>46090</x:v>
      </x:c>
      <x:c r="R12" s="17">
        <x:f>Q12+N12-1</x:f>
        <x:v>46095</x:v>
      </x:c>
      <x:c r="S12" s="9" t="inlineStr">
        <x:is>
          <x:t xml:space="preserve">PLY-03,DSN-03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DSN-14</x:t>
        </x:is>
      </x:c>
      <x:c r="B13" s="9" t="inlineStr">
        <x:is>
          <x:t xml:space="preserve">Design</x:t>
        </x:is>
      </x:c>
      <x:c r="C13" s="9" t="inlineStr">
        <x:is>
          <x:t xml:space="preserve">DevSecOps</x:t>
        </x:is>
      </x:c>
      <x:c r="D13" s="13" t="n">
        <x:v>2</x:v>
      </x:c>
      <x:c r="E13" s="9" t="inlineStr">
        <x:is>
          <x:t xml:space="preserve">CI/CD</x:t>
        </x:is>
      </x:c>
      <x:c r="F13" s="9" t="inlineStr">
        <x:is>
          <x:t xml:space="preserve">Design CI/CD pipeline and IaC approach</x:t>
        </x:is>
      </x:c>
      <x:c r="G13" s="14" t="inlineStr">
        <x:is>
          <x:t xml:space="preserve">Define tests, scanning, artifacts, deployment strategy, environment configs, approval gates, Terraform modules.</x:t>
        </x:is>
      </x:c>
      <x:c r="H13" s="14" t="inlineStr">
        <x:is>
          <x:t xml:space="preserve">CI/CD &amp; IaC design spec</x:t>
        </x:is>
      </x:c>
      <x:c r="I13" s="9" t="inlineStr">
        <x:is>
          <x:t xml:space="preserve">DevOps/Platform Eng</x:t>
        </x:is>
      </x:c>
      <x:c r="J13" s="15" t="inlineStr">
        <x:is>
          <x:t xml:space="preserve">A</x:t>
        </x:is>
      </x:c>
      <x:c r="K13" s="15" t="inlineStr">
        <x:is>
          <x:t xml:space="preserve">P0</x:t>
        </x:is>
      </x:c>
      <x:c r="L13" s="15" t="inlineStr">
        <x:is>
          <x:t xml:space="preserve">Not Started</x:t>
        </x:is>
      </x:c>
      <x:c r="M13" s="16" t="n">
        <x:v>6</x:v>
      </x:c>
      <x:c r="N13" s="13" t="n">
        <x:v>7</x:v>
      </x:c>
      <x:c r="O13" s="13" t="n">
        <x:v>4</x:v>
      </x:c>
      <x:c r="P13" s="13">
        <x:f>O13+ROUNDUP(N13/Inputs!$B$4,0)-1</x:f>
        <x:v>4</x:v>
      </x:c>
      <x:c r="Q13" s="17">
        <x:f>Inputs!$B$3+(O13-1)*Inputs!$B$4</x:f>
        <x:v>46097</x:v>
      </x:c>
      <x:c r="R13" s="17">
        <x:f>Q13+N13-1</x:f>
        <x:v>46103</x:v>
      </x:c>
      <x:c r="S13" s="9" t="inlineStr">
        <x:is>
          <x:t xml:space="preserve">PLY-07,PLY-08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DSN-15</x:t>
        </x:is>
      </x:c>
      <x:c r="B14" s="9" t="inlineStr">
        <x:is>
          <x:t xml:space="preserve">Design</x:t>
        </x:is>
      </x:c>
      <x:c r="C14" s="9" t="inlineStr">
        <x:is>
          <x:t xml:space="preserve">Governance</x:t>
        </x:is>
      </x:c>
      <x:c r="D14" s="13" t="n">
        <x:v>2</x:v>
      </x:c>
      <x:c r="E14" s="9" t="inlineStr">
        <x:is>
          <x:t xml:space="preserve">Documentation</x:t>
        </x:is>
      </x:c>
      <x:c r="F14" s="9" t="inlineStr">
        <x:is>
          <x:t xml:space="preserve">Design operations handbook structure</x:t>
        </x:is>
      </x:c>
      <x:c r="G14" s="14" t="inlineStr">
        <x:is>
          <x:t xml:space="preserve">Define handbook sections: architecture, SLOs, dashboards, alerts, runbooks, on-call, escalation.</x:t>
        </x:is>
      </x:c>
      <x:c r="H14" s="14" t="inlineStr">
        <x:is>
          <x:t xml:space="preserve">Ops handbook outline</x:t>
        </x:is>
      </x:c>
      <x:c r="I14" s="9" t="inlineStr">
        <x:is>
          <x:t xml:space="preserve">SRE/Operations</x:t>
        </x:is>
      </x:c>
      <x:c r="J14" s="15" t="inlineStr">
        <x:is>
          <x:t xml:space="preserve">A</x:t>
        </x:is>
      </x:c>
      <x:c r="K14" s="15" t="inlineStr">
        <x:is>
          <x:t xml:space="preserve">P1</x:t>
        </x:is>
      </x:c>
      <x:c r="L14" s="15" t="inlineStr">
        <x:is>
          <x:t xml:space="preserve">Not Started</x:t>
        </x:is>
      </x:c>
      <x:c r="M14" s="16" t="n">
        <x:v>3</x:v>
      </x:c>
      <x:c r="N14" s="13" t="n">
        <x:v>3</x:v>
      </x:c>
      <x:c r="O14" s="13" t="n">
        <x:v>6</x:v>
      </x:c>
      <x:c r="P14" s="13">
        <x:f>O14+ROUNDUP(N14/Inputs!$B$4,0)-1</x:f>
        <x:v>6</x:v>
      </x:c>
      <x:c r="Q14" s="17">
        <x:f>Inputs!$B$3+(O14-1)*Inputs!$B$4</x:f>
        <x:v>46111</x:v>
      </x:c>
      <x:c r="R14" s="17">
        <x:f>Q14+N14-1</x:f>
        <x:v>46113</x:v>
      </x:c>
      <x:c r="S14" s="9" t="inlineStr">
        <x:is>
          <x:t xml:space="preserve">PRC-01,DSN-01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DSN-17</x:t>
        </x:is>
      </x:c>
      <x:c r="B15" s="9" t="inlineStr">
        <x:is>
          <x:t xml:space="preserve">Design</x:t>
        </x:is>
      </x:c>
      <x:c r="C15" s="9" t="inlineStr">
        <x:is>
          <x:t xml:space="preserve">Governance</x:t>
        </x:is>
      </x:c>
      <x:c r="D15" s="13" t="n">
        <x:v>2</x:v>
      </x:c>
      <x:c r="E15" s="9" t="inlineStr">
        <x:is>
          <x:t xml:space="preserve">Retention Implementation</x:t>
        </x:is>
      </x:c>
      <x:c r="F15" s="9" t="inlineStr">
        <x:is>
          <x:t xml:space="preserve">Design retention purge implementation</x:t>
        </x:is>
      </x:c>
      <x:c r="G15" s="14" t="inlineStr">
        <x:is>
          <x:t xml:space="preserve">Define purge job patterns, legal hold exceptions, and verification reporting.</x:t>
        </x:is>
      </x:c>
      <x:c r="H15" s="14" t="inlineStr">
        <x:is>
          <x:t xml:space="preserve">Purge design spec</x:t>
        </x:is>
      </x:c>
      <x:c r="I15" s="9" t="inlineStr">
        <x:is>
          <x:t xml:space="preserve">Data Engineer</x:t>
        </x:is>
      </x:c>
      <x:c r="J15" s="15" t="inlineStr">
        <x:is>
          <x:t xml:space="preserve">R</x:t>
        </x:is>
      </x:c>
      <x:c r="K15" s="15" t="inlineStr">
        <x:is>
          <x:t xml:space="preserve">P2</x:t>
        </x:is>
      </x:c>
      <x:c r="L15" s="15" t="inlineStr">
        <x:is>
          <x:t xml:space="preserve">Not Started</x:t>
        </x:is>
      </x:c>
      <x:c r="M15" s="16" t="n">
        <x:v>3</x:v>
      </x:c>
      <x:c r="N15" s="13" t="n">
        <x:v>4</x:v>
      </x:c>
      <x:c r="O15" s="13" t="n">
        <x:v>6</x:v>
      </x:c>
      <x:c r="P15" s="13">
        <x:f>O15+ROUNDUP(N15/Inputs!$B$4,0)-1</x:f>
        <x:v>6</x:v>
      </x:c>
      <x:c r="Q15" s="17">
        <x:f>Inputs!$B$3+(O15-1)*Inputs!$B$4</x:f>
        <x:v>46111</x:v>
      </x:c>
      <x:c r="R15" s="17">
        <x:f>Q15+N15-1</x:f>
        <x:v>46114</x:v>
      </x:c>
      <x:c r="S15" s="9" t="inlineStr">
        <x:is>
          <x:t xml:space="preserve">PLY-06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DSN-08</x:t>
        </x:is>
      </x:c>
      <x:c r="B16" s="9" t="inlineStr">
        <x:is>
          <x:t xml:space="preserve">Design</x:t>
        </x:is>
      </x:c>
      <x:c r="C16" s="9" t="inlineStr">
        <x:is>
          <x:t xml:space="preserve">Observability</x:t>
        </x:is>
      </x:c>
      <x:c r="D16" s="13" t="n">
        <x:v>3</x:v>
      </x:c>
      <x:c r="E16" s="9" t="inlineStr">
        <x:is>
          <x:t xml:space="preserve">Metrics Model</x:t>
        </x:is>
      </x:c>
      <x:c r="F16" s="9" t="inlineStr">
        <x:is>
          <x:t xml:space="preserve">Design metrics/logging schema for observability</x:t>
        </x:is>
      </x:c>
      <x:c r="G16" s="14" t="inlineStr">
        <x:is>
          <x:t xml:space="preserve">Define run metrics, API metrics, freshness metrics, DQ results, error taxonomy, and dimensions.</x:t>
        </x:is>
      </x:c>
      <x:c r="H16" s="14" t="inlineStr">
        <x:is>
          <x:t xml:space="preserve">Observability data model spec</x:t>
        </x:is>
      </x:c>
      <x:c r="I16" s="9" t="inlineStr">
        <x:is>
          <x:t xml:space="preserve">SRE/Operations</x:t>
        </x:is>
      </x:c>
      <x:c r="J16" s="15" t="inlineStr">
        <x:is>
          <x:t xml:space="preserve">A</x:t>
        </x:is>
      </x:c>
      <x:c r="K16" s="15" t="inlineStr">
        <x:is>
          <x:t xml:space="preserve">P0</x:t>
        </x:is>
      </x:c>
      <x:c r="L16" s="15" t="inlineStr">
        <x:is>
          <x:t xml:space="preserve">Not Started</x:t>
        </x:is>
      </x:c>
      <x:c r="M16" s="16" t="n">
        <x:v>5</x:v>
      </x:c>
      <x:c r="N16" s="13" t="n">
        <x:v>6</x:v>
      </x:c>
      <x:c r="O16" s="13" t="n">
        <x:v>4</x:v>
      </x:c>
      <x:c r="P16" s="13">
        <x:f>O16+ROUNDUP(N16/Inputs!$B$4,0)-1</x:f>
        <x:v>4</x:v>
      </x:c>
      <x:c r="Q16" s="17">
        <x:f>Inputs!$B$3+(O16-1)*Inputs!$B$4</x:f>
        <x:v>46097</x:v>
      </x:c>
      <x:c r="R16" s="17">
        <x:f>Q16+N16-1</x:f>
        <x:v>46102</x:v>
      </x:c>
      <x:c r="S16" s="9" t="inlineStr">
        <x:is>
          <x:t xml:space="preserve">DSN-02,PLY-09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DSN-09</x:t>
        </x:is>
      </x:c>
      <x:c r="B17" s="9" t="inlineStr">
        <x:is>
          <x:t xml:space="preserve">Design</x:t>
        </x:is>
      </x:c>
      <x:c r="C17" s="9" t="inlineStr">
        <x:is>
          <x:t xml:space="preserve">Alerting</x:t>
        </x:is>
      </x:c>
      <x:c r="D17" s="13" t="n">
        <x:v>3</x:v>
      </x:c>
      <x:c r="E17" s="9" t="inlineStr">
        <x:is>
          <x:t xml:space="preserve">Alerts</x:t>
        </x:is>
      </x:c>
      <x:c r="F17" s="9" t="inlineStr">
        <x:is>
          <x:t xml:space="preserve">Design alert rules &amp; routing mappings</x:t>
        </x:is>
      </x:c>
      <x:c r="G17" s="14" t="inlineStr">
        <x:is>
          <x:t xml:space="preserve">Define alert conditions, thresholds, mapping to P0-P3, routing to platform vs domain owners, suppression logic.</x:t>
        </x:is>
      </x:c>
      <x:c r="H17" s="14" t="inlineStr">
        <x:is>
          <x:t xml:space="preserve">Alert rules design</x:t>
        </x:is>
      </x:c>
      <x:c r="I17" s="9" t="inlineStr">
        <x:is>
          <x:t xml:space="preserve">SRE/Operations</x:t>
        </x:is>
      </x:c>
      <x:c r="J17" s="15" t="inlineStr">
        <x:is>
          <x:t xml:space="preserve">A</x:t>
        </x:is>
      </x:c>
      <x:c r="K17" s="15" t="inlineStr">
        <x:is>
          <x:t xml:space="preserve">P0</x:t>
        </x:is>
      </x:c>
      <x:c r="L17" s="15" t="inlineStr">
        <x:is>
          <x:t xml:space="preserve">Not Started</x:t>
        </x:is>
      </x:c>
      <x:c r="M17" s="16" t="n">
        <x:v>4</x:v>
      </x:c>
      <x:c r="N17" s="13" t="n">
        <x:v>5</x:v>
      </x:c>
      <x:c r="O17" s="13" t="n">
        <x:v>5</x:v>
      </x:c>
      <x:c r="P17" s="13">
        <x:f>O17+ROUNDUP(N17/Inputs!$B$4,0)-1</x:f>
        <x:v>5</x:v>
      </x:c>
      <x:c r="Q17" s="17">
        <x:f>Inputs!$B$3+(O17-1)*Inputs!$B$4</x:f>
        <x:v>46104</x:v>
      </x:c>
      <x:c r="R17" s="17">
        <x:f>Q17+N17-1</x:f>
        <x:v>46108</x:v>
      </x:c>
      <x:c r="S17" s="9" t="inlineStr">
        <x:is>
          <x:t xml:space="preserve">DSN-08,PLY-02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DSN-10</x:t>
        </x:is>
      </x:c>
      <x:c r="B18" s="9" t="inlineStr">
        <x:is>
          <x:t xml:space="preserve">Design</x:t>
        </x:is>
      </x:c>
      <x:c r="C18" s="9" t="inlineStr">
        <x:is>
          <x:t xml:space="preserve">Data Quality</x:t>
        </x:is>
      </x:c>
      <x:c r="D18" s="13" t="n">
        <x:v>3</x:v>
      </x:c>
      <x:c r="E18" s="9" t="inlineStr">
        <x:is>
          <x:t xml:space="preserve">DQ Framework</x:t>
        </x:is>
      </x:c>
      <x:c r="F18" s="9" t="inlineStr">
        <x:is>
          <x:t xml:space="preserve">Design DQ framework at ingest boundary</x:t>
        </x:is>
      </x:c>
      <x:c r="G18" s="14" t="inlineStr">
        <x:is>
          <x:t xml:space="preserve">Define rule types, severity levels (warn/quarantine/fail), configuration storage, and reporting.</x:t>
        </x:is>
      </x:c>
      <x:c r="H18" s="14" t="inlineStr">
        <x:is>
          <x:t xml:space="preserve">DQ design spec</x:t>
        </x:is>
      </x:c>
      <x:c r="I18" s="9" t="inlineStr">
        <x:is>
          <x:t xml:space="preserve">Data Engineer</x:t>
        </x:is>
      </x:c>
      <x:c r="J18" s="15" t="inlineStr">
        <x:is>
          <x:t xml:space="preserve">R</x:t>
        </x:is>
      </x:c>
      <x:c r="K18" s="15" t="inlineStr">
        <x:is>
          <x:t xml:space="preserve">P1</x:t>
        </x:is>
      </x:c>
      <x:c r="L18" s="15" t="inlineStr">
        <x:is>
          <x:t xml:space="preserve">Not Started</x:t>
        </x:is>
      </x:c>
      <x:c r="M18" s="16" t="n">
        <x:v>4</x:v>
      </x:c>
      <x:c r="N18" s="13" t="n">
        <x:v>5</x:v>
      </x:c>
      <x:c r="O18" s="13" t="n">
        <x:v>5</x:v>
      </x:c>
      <x:c r="P18" s="13">
        <x:f>O18+ROUNDUP(N18/Inputs!$B$4,0)-1</x:f>
        <x:v>5</x:v>
      </x:c>
      <x:c r="Q18" s="17">
        <x:f>Inputs!$B$3+(O18-1)*Inputs!$B$4</x:f>
        <x:v>46104</x:v>
      </x:c>
      <x:c r="R18" s="17">
        <x:f>Q18+N18-1</x:f>
        <x:v>46108</x:v>
      </x:c>
      <x:c r="S18" s="9" t="inlineStr">
        <x:is>
          <x:t xml:space="preserve">DSN-02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  <x:row r="19" ht="42" customHeight="1">
      <x:c r="A19" s="9" t="inlineStr">
        <x:is>
          <x:t xml:space="preserve">DSN-11</x:t>
        </x:is>
      </x:c>
      <x:c r="B19" s="9" t="inlineStr">
        <x:is>
          <x:t xml:space="preserve">Design</x:t>
        </x:is>
      </x:c>
      <x:c r="C19" s="9" t="inlineStr">
        <x:is>
          <x:t xml:space="preserve">DLQ/Replay</x:t>
        </x:is>
      </x:c>
      <x:c r="D19" s="13" t="n">
        <x:v>3</x:v>
      </x:c>
      <x:c r="E19" s="9" t="inlineStr">
        <x:is>
          <x:t xml:space="preserve">Error Handling</x:t>
        </x:is>
      </x:c>
      <x:c r="F19" s="9" t="inlineStr">
        <x:is>
          <x:t xml:space="preserve">Design DLQ and replay mechanisms</x:t>
        </x:is>
      </x:c>
      <x:c r="G19" s="14" t="inlineStr">
        <x:is>
          <x:t xml:space="preserve">Define DLQ table schema, replay job patterns, replay by run_id/window, and audit logging.</x:t>
        </x:is>
      </x:c>
      <x:c r="H19" s="14" t="inlineStr">
        <x:is>
          <x:t xml:space="preserve">DLQ/Replay design spec</x:t>
        </x:is>
      </x:c>
      <x:c r="I19" s="9" t="inlineStr">
        <x:is>
          <x:t xml:space="preserve">Data Engineer</x:t>
        </x:is>
      </x:c>
      <x:c r="J19" s="15" t="inlineStr">
        <x:is>
          <x:t xml:space="preserve">R</x:t>
        </x:is>
      </x:c>
      <x:c r="K19" s="15" t="inlineStr">
        <x:is>
          <x:t xml:space="preserve">P1</x:t>
        </x:is>
      </x:c>
      <x:c r="L19" s="15" t="inlineStr">
        <x:is>
          <x:t xml:space="preserve">Not Started</x:t>
        </x:is>
      </x:c>
      <x:c r="M19" s="16" t="n">
        <x:v>4</x:v>
      </x:c>
      <x:c r="N19" s="13" t="n">
        <x:v>5</x:v>
      </x:c>
      <x:c r="O19" s="13" t="n">
        <x:v>5</x:v>
      </x:c>
      <x:c r="P19" s="13">
        <x:f>O19+ROUNDUP(N19/Inputs!$B$4,0)-1</x:f>
        <x:v>5</x:v>
      </x:c>
      <x:c r="Q19" s="17">
        <x:f>Inputs!$B$3+(O19-1)*Inputs!$B$4</x:f>
        <x:v>46104</x:v>
      </x:c>
      <x:c r="R19" s="17">
        <x:f>Q19+N19-1</x:f>
        <x:v>46108</x:v>
      </x:c>
      <x:c r="S19" s="9" t="inlineStr">
        <x:is>
          <x:t xml:space="preserve">DSN-10</x:t>
        </x:is>
      </x:c>
      <x:c r="T19" s="15" t="inlineStr">
        <x:is>
          <x:t xml:space="preserve">N</x:t>
        </x:is>
      </x:c>
      <x:c r="U19" s="14" t="inlineStr">
        <x:is>
          <x:t xml:space="preserve"/>
        </x:is>
      </x:c>
    </x:row>
    <x:row r="20" ht="42" customHeight="1">
      <x:c r="A20" s="9" t="inlineStr">
        <x:is>
          <x:t xml:space="preserve">DSN-12</x:t>
        </x:is>
      </x:c>
      <x:c r="B20" s="9" t="inlineStr">
        <x:is>
          <x:t xml:space="preserve">Design</x:t>
        </x:is>
      </x:c>
      <x:c r="C20" s="9" t="inlineStr">
        <x:is>
          <x:t xml:space="preserve">Schema Evolution</x:t>
        </x:is>
      </x:c>
      <x:c r="D20" s="13" t="n">
        <x:v>3</x:v>
      </x:c>
      <x:c r="E20" s="9" t="inlineStr">
        <x:is>
          <x:t xml:space="preserve">Schema Drift</x:t>
        </x:is>
      </x:c>
      <x:c r="F20" s="9" t="inlineStr">
        <x:is>
          <x:t xml:space="preserve">Design schema drift detection and evolution policy</x:t>
        </x:is>
      </x:c>
      <x:c r="G20" s="14" t="inlineStr">
        <x:is>
          <x:t xml:space="preserve">Define detection approach, versioning, breaking change handling, quarantine workflows and alerts.</x:t>
        </x:is>
      </x:c>
      <x:c r="H20" s="14" t="inlineStr">
        <x:is>
          <x:t xml:space="preserve">Schema drift design spec</x:t>
        </x:is>
      </x:c>
      <x:c r="I20" s="9" t="inlineStr">
        <x:is>
          <x:t xml:space="preserve">Data Platform Architect</x:t>
        </x:is>
      </x:c>
      <x:c r="J20" s="15" t="inlineStr">
        <x:is>
          <x:t xml:space="preserve">A</x:t>
        </x:is>
      </x:c>
      <x:c r="K20" s="15" t="inlineStr">
        <x:is>
          <x:t xml:space="preserve">P1</x:t>
        </x:is>
      </x:c>
      <x:c r="L20" s="15" t="inlineStr">
        <x:is>
          <x:t xml:space="preserve">Not Started</x:t>
        </x:is>
      </x:c>
      <x:c r="M20" s="16" t="n">
        <x:v>4</x:v>
      </x:c>
      <x:c r="N20" s="13" t="n">
        <x:v>5</x:v>
      </x:c>
      <x:c r="O20" s="13" t="n">
        <x:v>6</x:v>
      </x:c>
      <x:c r="P20" s="13">
        <x:f>O20+ROUNDUP(N20/Inputs!$B$4,0)-1</x:f>
        <x:v>6</x:v>
      </x:c>
      <x:c r="Q20" s="17">
        <x:f>Inputs!$B$3+(O20-1)*Inputs!$B$4</x:f>
        <x:v>46111</x:v>
      </x:c>
      <x:c r="R20" s="17">
        <x:f>Q20+N20-1</x:f>
        <x:v>46115</x:v>
      </x:c>
      <x:c r="S20" s="9" t="inlineStr">
        <x:is>
          <x:t xml:space="preserve">DSN-05,PLY-14</x:t>
        </x:is>
      </x:c>
      <x:c r="T20" s="15" t="inlineStr">
        <x:is>
          <x:t xml:space="preserve">N</x:t>
        </x:is>
      </x:c>
      <x:c r="U20" s="14" t="inlineStr">
        <x:is>
          <x:t xml:space="preserve"/>
        </x:is>
      </x:c>
    </x:row>
    <x:row r="21" ht="42" customHeight="1">
      <x:c r="A21" s="9" t="inlineStr">
        <x:is>
          <x:t xml:space="preserve">DSN-13</x:t>
        </x:is>
      </x:c>
      <x:c r="B21" s="9" t="inlineStr">
        <x:is>
          <x:t xml:space="preserve">Design</x:t>
        </x:is>
      </x:c>
      <x:c r="C21" s="9" t="inlineStr">
        <x:is>
          <x:t xml:space="preserve">Lineage</x:t>
        </x:is>
      </x:c>
      <x:c r="D21" s="13" t="n">
        <x:v>3</x:v>
      </x:c>
      <x:c r="E21" s="9" t="inlineStr">
        <x:is>
          <x:t xml:space="preserve">Audit &amp; Lineage</x:t>
        </x:is>
      </x:c>
      <x:c r="F21" s="9" t="inlineStr">
        <x:is>
          <x:t xml:space="preserve">Design auditing and lineage approach</x:t>
        </x:is>
      </x:c>
      <x:c r="G21" s="14" t="inlineStr">
        <x:is>
          <x:t xml:space="preserve">Define audit events, evidence tables, UC lineage usage, optional OpenLineage emission pattern.</x:t>
        </x:is>
      </x:c>
      <x:c r="H21" s="14" t="inlineStr">
        <x:is>
          <x:t xml:space="preserve">Audit &amp; lineage design spec</x:t>
        </x:is>
      </x:c>
      <x:c r="I21" s="9" t="inlineStr">
        <x:is>
          <x:t xml:space="preserve">Data Platform Architect</x:t>
        </x:is>
      </x:c>
      <x:c r="J21" s="15" t="inlineStr">
        <x:is>
          <x:t xml:space="preserve">A</x:t>
        </x:is>
      </x:c>
      <x:c r="K21" s="15" t="inlineStr">
        <x:is>
          <x:t xml:space="preserve">P1</x:t>
        </x:is>
      </x:c>
      <x:c r="L21" s="15" t="inlineStr">
        <x:is>
          <x:t xml:space="preserve">Not Started</x:t>
        </x:is>
      </x:c>
      <x:c r="M21" s="16" t="n">
        <x:v>4</x:v>
      </x:c>
      <x:c r="N21" s="13" t="n">
        <x:v>5</x:v>
      </x:c>
      <x:c r="O21" s="13" t="n">
        <x:v>6</x:v>
      </x:c>
      <x:c r="P21" s="13">
        <x:f>O21+ROUNDUP(N21/Inputs!$B$4,0)-1</x:f>
        <x:v>6</x:v>
      </x:c>
      <x:c r="Q21" s="17">
        <x:f>Inputs!$B$3+(O21-1)*Inputs!$B$4</x:f>
        <x:v>46111</x:v>
      </x:c>
      <x:c r="R21" s="17">
        <x:f>Q21+N21-1</x:f>
        <x:v>46115</x:v>
      </x:c>
      <x:c r="S21" s="9" t="inlineStr">
        <x:is>
          <x:t xml:space="preserve">PLY-16</x:t>
        </x:is>
      </x:c>
      <x:c r="T21" s="15" t="inlineStr">
        <x:is>
          <x:t xml:space="preserve">N</x:t>
        </x:is>
      </x:c>
      <x:c r="U21" s="14" t="inlineStr">
        <x:is>
          <x:t xml:space="preserve"/>
        </x:is>
      </x:c>
    </x:row>
    <x:row r="22" ht="42" customHeight="1">
      <x:c r="A22" s="9" t="inlineStr">
        <x:is>
          <x:t xml:space="preserve">DSN-19</x:t>
        </x:is>
      </x:c>
      <x:c r="B22" s="9" t="inlineStr">
        <x:is>
          <x:t xml:space="preserve">Design</x:t>
        </x:is>
      </x:c>
      <x:c r="C22" s="9" t="inlineStr">
        <x:is>
          <x:t xml:space="preserve">Onboarding Factory</x:t>
        </x:is>
      </x:c>
      <x:c r="D22" s="13" t="n">
        <x:v>4</x:v>
      </x:c>
      <x:c r="E22" s="9" t="inlineStr">
        <x:is>
          <x:t xml:space="preserve">Templates</x:t>
        </x:is>
      </x:c>
      <x:c r="F22" s="9" t="inlineStr">
        <x:is>
          <x:t xml:space="preserve">Design onboarding templates and automation</x:t>
        </x:is>
      </x:c>
      <x:c r="G22" s="14" t="inlineStr">
        <x:is>
          <x:t xml:space="preserve">Define config templates, vendor profiles, bulk onboarding approach and validation rules.</x:t>
        </x:is>
      </x:c>
      <x:c r="H22" s="14" t="inlineStr">
        <x:is>
          <x:t xml:space="preserve">Onboarding templates design</x:t>
        </x:is>
      </x:c>
      <x:c r="I22" s="9" t="inlineStr">
        <x:is>
          <x:t xml:space="preserve">Data Engineer</x:t>
        </x:is>
      </x:c>
      <x:c r="J22" s="15" t="inlineStr">
        <x:is>
          <x:t xml:space="preserve">R</x:t>
        </x:is>
      </x:c>
      <x:c r="K22" s="15" t="inlineStr">
        <x:is>
          <x:t xml:space="preserve">P1</x:t>
        </x:is>
      </x:c>
      <x:c r="L22" s="15" t="inlineStr">
        <x:is>
          <x:t xml:space="preserve">Not Started</x:t>
        </x:is>
      </x:c>
      <x:c r="M22" s="16" t="n">
        <x:v>4</x:v>
      </x:c>
      <x:c r="N22" s="13" t="n">
        <x:v>5</x:v>
      </x:c>
      <x:c r="O22" s="13" t="n">
        <x:v>7</x:v>
      </x:c>
      <x:c r="P22" s="13">
        <x:f>O22+ROUNDUP(N22/Inputs!$B$4,0)-1</x:f>
        <x:v>7</x:v>
      </x:c>
      <x:c r="Q22" s="17">
        <x:f>Inputs!$B$3+(O22-1)*Inputs!$B$4</x:f>
        <x:v>46118</x:v>
      </x:c>
      <x:c r="R22" s="17">
        <x:f>Q22+N22-1</x:f>
        <x:v>46122</x:v>
      </x:c>
      <x:c r="S22" s="9" t="inlineStr">
        <x:is>
          <x:t xml:space="preserve">PRC-06,PRC-13</x:t>
        </x:is>
      </x:c>
      <x:c r="T22" s="15" t="inlineStr">
        <x:is>
          <x:t xml:space="preserve">N</x:t>
        </x:is>
      </x:c>
      <x:c r="U22" s="14" t="inlineStr">
        <x:is>
          <x:t xml:space="preserve"/>
        </x:is>
      </x:c>
    </x:row>
    <x:row r="23" ht="42" customHeight="1">
      <x:c r="A23" s="9" t="inlineStr">
        <x:is>
          <x:t xml:space="preserve">DSN-20</x:t>
        </x:is>
      </x:c>
      <x:c r="B23" s="9" t="inlineStr">
        <x:is>
          <x:t xml:space="preserve">Design</x:t>
        </x:is>
      </x:c>
      <x:c r="C23" s="9" t="inlineStr">
        <x:is>
          <x:t xml:space="preserve">Cost/FinOps</x:t>
        </x:is>
      </x:c>
      <x:c r="D23" s="13" t="n">
        <x:v>5</x:v>
      </x:c>
      <x:c r="E23" s="9" t="inlineStr">
        <x:is>
          <x:t xml:space="preserve">Cost Attribution</x:t>
        </x:is>
      </x:c>
      <x:c r="F23" s="9" t="inlineStr">
        <x:is>
          <x:t xml:space="preserve">Design cost attribution per source</x:t>
        </x:is>
      </x:c>
      <x:c r="G23" s="14" t="inlineStr">
        <x:is>
          <x:t xml:space="preserve">Define how to attribute compute/storage to sources (tags, job run metadata) and dashboard.</x:t>
        </x:is>
      </x:c>
      <x:c r="H23" s="14" t="inlineStr">
        <x:is>
          <x:t xml:space="preserve">Cost attribution design</x:t>
        </x:is>
      </x:c>
      <x:c r="I23" s="9" t="inlineStr">
        <x:is>
          <x:t xml:space="preserve">DevOps/Platform Eng</x:t>
        </x:is>
      </x:c>
      <x:c r="J23" s="15" t="inlineStr">
        <x:is>
          <x:t xml:space="preserve">A</x:t>
        </x:is>
      </x:c>
      <x:c r="K23" s="15" t="inlineStr">
        <x:is>
          <x:t xml:space="preserve">P2</x:t>
        </x:is>
      </x:c>
      <x:c r="L23" s="15" t="inlineStr">
        <x:is>
          <x:t xml:space="preserve">Not Started</x:t>
        </x:is>
      </x:c>
      <x:c r="M23" s="16" t="n">
        <x:v>3</x:v>
      </x:c>
      <x:c r="N23" s="13" t="n">
        <x:v>4</x:v>
      </x:c>
      <x:c r="O23" s="13" t="n">
        <x:v>10</x:v>
      </x:c>
      <x:c r="P23" s="13">
        <x:f>O23+ROUNDUP(N23/Inputs!$B$4,0)-1</x:f>
        <x:v>10</x:v>
      </x:c>
      <x:c r="Q23" s="17">
        <x:f>Inputs!$B$3+(O23-1)*Inputs!$B$4</x:f>
        <x:v>46139</x:v>
      </x:c>
      <x:c r="R23" s="17">
        <x:f>Q23+N23-1</x:f>
        <x:v>46142</x:v>
      </x:c>
      <x:c r="S23" s="9" t="inlineStr">
        <x:is>
          <x:t xml:space="preserve">DSN-08</x:t>
        </x:is>
      </x:c>
      <x:c r="T23" s="15" t="inlineStr">
        <x:is>
          <x:t xml:space="preserve">N</x:t>
        </x:is>
      </x:c>
      <x:c r="U23" s="14" t="inlineStr">
        <x:is>
          <x:t xml:space="preserve"/>
        </x:is>
      </x:c>
    </x:row>
    <x:row r="24" ht="42" customHeight="1">
      <x:c r="A24" s="9" t="inlineStr">
        <x:is>
          <x:t xml:space="preserve">IMP-01</x:t>
        </x:is>
      </x:c>
      <x:c r="B24" s="9" t="inlineStr">
        <x:is>
          <x:t xml:space="preserve">Implementation</x:t>
        </x:is>
      </x:c>
      <x:c r="C24" s="9" t="inlineStr">
        <x:is>
          <x:t xml:space="preserve">Planning</x:t>
        </x:is>
      </x:c>
      <x:c r="D24" s="13" t="n">
        <x:v>0</x:v>
      </x:c>
      <x:c r="E24" s="9" t="inlineStr">
        <x:is>
          <x:t xml:space="preserve">Discovery</x:t>
        </x:is>
      </x:c>
      <x:c r="F24" s="9" t="inlineStr">
        <x:is>
          <x:t xml:space="preserve">Inventory current API ingestions &amp; patterns</x:t>
        </x:is>
      </x:c>
      <x:c r="G24" s="14" t="inlineStr">
        <x:is>
          <x:t xml:space="preserve">Catalogue existing sources/endpoints/auth/pagination; group into patterns; identify pilot candidates.</x:t>
        </x:is>
      </x:c>
      <x:c r="H24" s="14" t="inlineStr">
        <x:is>
          <x:t xml:space="preserve">API inventory + pattern matrix</x:t>
        </x:is>
      </x:c>
      <x:c r="I24" s="9" t="inlineStr">
        <x:is>
          <x:t xml:space="preserve">Data Engineer</x:t>
        </x:is>
      </x:c>
      <x:c r="J24" s="15" t="inlineStr">
        <x:is>
          <x:t xml:space="preserve">R</x:t>
        </x:is>
      </x:c>
      <x:c r="K24" s="15" t="inlineStr">
        <x:is>
          <x:t xml:space="preserve">P1</x:t>
        </x:is>
      </x:c>
      <x:c r="L24" s="15" t="inlineStr">
        <x:is>
          <x:t xml:space="preserve">Not Started</x:t>
        </x:is>
      </x:c>
      <x:c r="M24" s="16" t="n">
        <x:v>6</x:v>
      </x:c>
      <x:c r="N24" s="13" t="n">
        <x:v>8</x:v>
      </x:c>
      <x:c r="O24" s="13" t="n">
        <x:v>1</x:v>
      </x:c>
      <x:c r="P24" s="13">
        <x:f>O24+ROUNDUP(N24/Inputs!$B$4,0)-1</x:f>
        <x:v>2</x:v>
      </x:c>
      <x:c r="Q24" s="17">
        <x:f>Inputs!$B$3+(O24-1)*Inputs!$B$4</x:f>
        <x:v>46076</x:v>
      </x:c>
      <x:c r="R24" s="17">
        <x:f>Q24+N24-1</x:f>
        <x:v>46083</x:v>
      </x:c>
      <x:c r="S24" s="9" t="inlineStr">
        <x:is>
          <x:t xml:space="preserve">PLY-01</x:t>
        </x:is>
      </x:c>
      <x:c r="T24" s="15" t="inlineStr">
        <x:is>
          <x:t xml:space="preserve">N</x:t>
        </x:is>
      </x:c>
      <x:c r="U24" s="14" t="inlineStr">
        <x:is>
          <x:t xml:space="preserve">Include rate limits, volumes, SLAs where known.</x:t>
        </x:is>
      </x:c>
    </x:row>
    <x:row r="25" ht="42" customHeight="1">
      <x:c r="A25" s="9" t="inlineStr">
        <x:is>
          <x:t xml:space="preserve">IMP-02</x:t>
        </x:is>
      </x:c>
      <x:c r="B25" s="9" t="inlineStr">
        <x:is>
          <x:t xml:space="preserve">Implementation</x:t>
        </x:is>
      </x:c>
      <x:c r="C25" s="9" t="inlineStr">
        <x:is>
          <x:t xml:space="preserve">Planning</x:t>
        </x:is>
      </x:c>
      <x:c r="D25" s="13" t="n">
        <x:v>0</x:v>
      </x:c>
      <x:c r="E25" s="9" t="inlineStr">
        <x:is>
          <x:t xml:space="preserve">Discovery</x:t>
        </x:is>
      </x:c>
      <x:c r="F25" s="9" t="inlineStr">
        <x:is>
          <x:t xml:space="preserve">Define Tier-0/1/2 source list</x:t>
        </x:is>
      </x:c>
      <x:c r="G25" s="14" t="inlineStr">
        <x:is>
          <x:t xml:space="preserve">Create initial tiering with business owners and SLO expectations.</x:t>
        </x:is>
      </x:c>
      <x:c r="H25" s="14" t="inlineStr">
        <x:is>
          <x:t xml:space="preserve">Tiered source list</x:t>
        </x:is>
      </x:c>
      <x:c r="I25" s="9" t="inlineStr">
        <x:is>
          <x:t xml:space="preserve">Product Owner</x:t>
        </x:is>
      </x:c>
      <x:c r="J25" s="15" t="inlineStr">
        <x:is>
          <x:t xml:space="preserve">A</x:t>
        </x:is>
      </x:c>
      <x:c r="K25" s="15" t="inlineStr">
        <x:is>
          <x:t xml:space="preserve">P1</x:t>
        </x:is>
      </x:c>
      <x:c r="L25" s="15" t="inlineStr">
        <x:is>
          <x:t xml:space="preserve">Not Started</x:t>
        </x:is>
      </x:c>
      <x:c r="M25" s="16" t="n">
        <x:v>3</x:v>
      </x:c>
      <x:c r="N25" s="13" t="n">
        <x:v>4</x:v>
      </x:c>
      <x:c r="O25" s="13" t="n">
        <x:v>2</x:v>
      </x:c>
      <x:c r="P25" s="13">
        <x:f>O25+ROUNDUP(N25/Inputs!$B$4,0)-1</x:f>
        <x:v>2</x:v>
      </x:c>
      <x:c r="Q25" s="17">
        <x:f>Inputs!$B$3+(O25-1)*Inputs!$B$4</x:f>
        <x:v>46083</x:v>
      </x:c>
      <x:c r="R25" s="17">
        <x:f>Q25+N25-1</x:f>
        <x:v>46086</x:v>
      </x:c>
      <x:c r="S25" s="9" t="inlineStr">
        <x:is>
          <x:t xml:space="preserve">PRC-15</x:t>
        </x:is>
      </x:c>
      <x:c r="T25" s="15" t="inlineStr">
        <x:is>
          <x:t xml:space="preserve">N</x:t>
        </x:is>
      </x:c>
      <x:c r="U25" s="14" t="inlineStr">
        <x:is>
          <x:t xml:space="preserve"/>
        </x:is>
      </x:c>
    </x:row>
    <x:row r="26" ht="42" customHeight="1">
      <x:c r="A26" s="9" t="inlineStr">
        <x:is>
          <x:t xml:space="preserve">IMP-03</x:t>
        </x:is>
      </x:c>
      <x:c r="B26" s="9" t="inlineStr">
        <x:is>
          <x:t xml:space="preserve">Implementation</x:t>
        </x:is>
      </x:c>
      <x:c r="C26" s="9" t="inlineStr">
        <x:is>
          <x:t xml:space="preserve">Control Plane</x:t>
        </x:is>
      </x:c>
      <x:c r="D26" s="13" t="n">
        <x:v>1</x:v>
      </x:c>
      <x:c r="E26" s="9" t="inlineStr">
        <x:is>
          <x:t xml:space="preserve">Metadata Registry</x:t>
        </x:is>
      </x:c>
      <x:c r="F26" s="9" t="inlineStr">
        <x:is>
          <x:t xml:space="preserve">Implement registry Delta tables (sources/endpoints/state/runs/errors)</x:t>
        </x:is>
      </x:c>
      <x:c r="G26" s="14" t="inlineStr">
        <x:is>
          <x:t xml:space="preserve">Create schemas in UC, apply permissions, implement migrations/versioning approach.</x:t>
        </x:is>
      </x:c>
      <x:c r="H26" s="14" t="inlineStr">
        <x:is>
          <x:t xml:space="preserve">Control plane tables in UC</x:t>
        </x:is>
      </x:c>
      <x:c r="I26" s="9" t="inlineStr">
        <x:is>
          <x:t xml:space="preserve">Data Engineer</x:t>
        </x:is>
      </x:c>
      <x:c r="J26" s="15" t="inlineStr">
        <x:is>
          <x:t xml:space="preserve">R</x:t>
        </x:is>
      </x:c>
      <x:c r="K26" s="15" t="inlineStr">
        <x:is>
          <x:t xml:space="preserve">P0</x:t>
        </x:is>
      </x:c>
      <x:c r="L26" s="15" t="inlineStr">
        <x:is>
          <x:t xml:space="preserve">Not Started</x:t>
        </x:is>
      </x:c>
      <x:c r="M26" s="16" t="n">
        <x:v>8</x:v>
      </x:c>
      <x:c r="N26" s="13" t="n">
        <x:v>10</x:v>
      </x:c>
      <x:c r="O26" s="13" t="n">
        <x:v>3</x:v>
      </x:c>
      <x:c r="P26" s="13">
        <x:f>O26+ROUNDUP(N26/Inputs!$B$4,0)-1</x:f>
        <x:v>4</x:v>
      </x:c>
      <x:c r="Q26" s="17">
        <x:f>Inputs!$B$3+(O26-1)*Inputs!$B$4</x:f>
        <x:v>46090</x:v>
      </x:c>
      <x:c r="R26" s="17">
        <x:f>Q26+N26-1</x:f>
        <x:v>46099</x:v>
      </x:c>
      <x:c r="S26" s="9" t="inlineStr">
        <x:is>
          <x:t xml:space="preserve">DSN-02,PLY-11</x:t>
        </x:is>
      </x:c>
      <x:c r="T26" s="15" t="inlineStr">
        <x:is>
          <x:t xml:space="preserve">N</x:t>
        </x:is>
      </x:c>
      <x:c r="U26" s="14" t="inlineStr">
        <x:is>
          <x:t xml:space="preserve"/>
        </x:is>
      </x:c>
    </x:row>
    <x:row r="27" ht="42" customHeight="1">
      <x:c r="A27" s="9" t="inlineStr">
        <x:is>
          <x:t xml:space="preserve">IMP-05</x:t>
        </x:is>
      </x:c>
      <x:c r="B27" s="9" t="inlineStr">
        <x:is>
          <x:t xml:space="preserve">Implementation</x:t>
        </x:is>
      </x:c>
      <x:c r="C27" s="9" t="inlineStr">
        <x:is>
          <x:t xml:space="preserve">Connector SDK</x:t>
        </x:is>
      </x:c>
      <x:c r="D27" s="13" t="n">
        <x:v>1</x:v>
      </x:c>
      <x:c r="E27" s="9" t="inlineStr">
        <x:is>
          <x:t xml:space="preserve">Connector Interface</x:t>
        </x:is>
      </x:c>
      <x:c r="F27" s="9" t="inlineStr">
        <x:is>
          <x:t xml:space="preserve">Build connector SDK base package</x:t>
        </x:is>
      </x:c>
      <x:c r="G27" s="14" t="inlineStr">
        <x:is>
          <x:t xml:space="preserve">Implement interfaces, standard exceptions, logging hooks, metrics hooks and packaging.</x:t>
        </x:is>
      </x:c>
      <x:c r="H27" s="14" t="inlineStr">
        <x:is>
          <x:t xml:space="preserve">Connector SDK v1</x:t>
        </x:is>
      </x:c>
      <x:c r="I27" s="9" t="inlineStr">
        <x:is>
          <x:t xml:space="preserve">Data Engineer</x:t>
        </x:is>
      </x:c>
      <x:c r="J27" s="15" t="inlineStr">
        <x:is>
          <x:t xml:space="preserve">R</x:t>
        </x:is>
      </x:c>
      <x:c r="K27" s="15" t="inlineStr">
        <x:is>
          <x:t xml:space="preserve">P0</x:t>
        </x:is>
      </x:c>
      <x:c r="L27" s="15" t="inlineStr">
        <x:is>
          <x:t xml:space="preserve">Not Started</x:t>
        </x:is>
      </x:c>
      <x:c r="M27" s="16" t="n">
        <x:v>10</x:v>
      </x:c>
      <x:c r="N27" s="13" t="n">
        <x:v>12</x:v>
      </x:c>
      <x:c r="O27" s="13" t="n">
        <x:v>3</x:v>
      </x:c>
      <x:c r="P27" s="13">
        <x:f>O27+ROUNDUP(N27/Inputs!$B$4,0)-1</x:f>
        <x:v>4</x:v>
      </x:c>
      <x:c r="Q27" s="17">
        <x:f>Inputs!$B$3+(O27-1)*Inputs!$B$4</x:f>
        <x:v>46090</x:v>
      </x:c>
      <x:c r="R27" s="17">
        <x:f>Q27+N27-1</x:f>
        <x:v>46101</x:v>
      </x:c>
      <x:c r="S27" s="9" t="inlineStr">
        <x:is>
          <x:t xml:space="preserve">DSN-03,DSN-18</x:t>
        </x:is>
      </x:c>
      <x:c r="T27" s="15" t="inlineStr">
        <x:is>
          <x:t xml:space="preserve">N</x:t>
        </x:is>
      </x:c>
      <x:c r="U27" s="14" t="inlineStr">
        <x:is>
          <x:t xml:space="preserve"/>
        </x:is>
      </x:c>
    </x:row>
    <x:row r="28" ht="42" customHeight="1">
      <x:c r="A28" s="18" t="inlineStr">
        <x:is>
          <x:t xml:space="preserve">IMP-55</x:t>
        </x:is>
      </x:c>
      <x:c r="B28" s="18" t="inlineStr">
        <x:is>
          <x:t xml:space="preserve">Implementation</x:t>
        </x:is>
      </x:c>
      <x:c r="C28" s="18" t="inlineStr">
        <x:is>
          <x:t xml:space="preserve">Architecture</x:t>
        </x:is>
      </x:c>
      <x:c r="D28" s="19" t="n">
        <x:v>1</x:v>
      </x:c>
      <x:c r="E28" s="18" t="inlineStr">
        <x:is>
          <x:t xml:space="preserve">Reviews</x:t>
        </x:is>
      </x:c>
      <x:c r="F28" s="18" t="inlineStr">
        <x:is>
          <x:t xml:space="preserve">Architecture review &amp; signoff</x:t>
        </x:is>
      </x:c>
      <x:c r="G28" s="20" t="inlineStr">
        <x:is>
          <x:t xml:space="preserve">Review architecture and ADRs with stakeholders; capture decisions and action items.</x:t>
        </x:is>
      </x:c>
      <x:c r="H28" s="20" t="inlineStr">
        <x:is>
          <x:t xml:space="preserve">Architecture signoff</x:t>
        </x:is>
      </x:c>
      <x:c r="I28" s="18" t="inlineStr">
        <x:is>
          <x:t xml:space="preserve">Data Platform Architect</x:t>
        </x:is>
      </x:c>
      <x:c r="J28" s="21" t="inlineStr">
        <x:is>
          <x:t xml:space="preserve">A</x:t>
        </x:is>
      </x:c>
      <x:c r="K28" s="21" t="inlineStr">
        <x:is>
          <x:t xml:space="preserve">P1</x:t>
        </x:is>
      </x:c>
      <x:c r="L28" s="21" t="inlineStr">
        <x:is>
          <x:t xml:space="preserve">Not Started</x:t>
        </x:is>
      </x:c>
      <x:c r="M28" s="22" t="n">
        <x:v>2</x:v>
      </x:c>
      <x:c r="N28" s="19" t="n">
        <x:v>2</x:v>
      </x:c>
      <x:c r="O28" s="19" t="n">
        <x:v>3</x:v>
      </x:c>
      <x:c r="P28" s="19">
        <x:f>O28+ROUNDUP(N28/Inputs!$B$4,0)-1</x:f>
        <x:v>3</x:v>
      </x:c>
      <x:c r="Q28" s="23">
        <x:f>Inputs!$B$3+(O28-1)*Inputs!$B$4</x:f>
        <x:v>46090</x:v>
      </x:c>
      <x:c r="R28" s="23">
        <x:f>Q28+N28-1</x:f>
        <x:v>46091</x:v>
      </x:c>
      <x:c r="S28" s="18" t="inlineStr">
        <x:is>
          <x:t xml:space="preserve">DSN-01</x:t>
        </x:is>
      </x:c>
      <x:c r="T28" s="21" t="inlineStr">
        <x:is>
          <x:t xml:space="preserve">Y</x:t>
        </x:is>
      </x:c>
      <x:c r="U28" s="20" t="inlineStr">
        <x:is>
          <x:t xml:space="preserve"/>
        </x:is>
      </x:c>
    </x:row>
    <x:row r="29" ht="42" customHeight="1">
      <x:c r="A29" s="9" t="inlineStr">
        <x:is>
          <x:t xml:space="preserve">IMP-04</x:t>
        </x:is>
      </x:c>
      <x:c r="B29" s="9" t="inlineStr">
        <x:is>
          <x:t xml:space="preserve">Implementation</x:t>
        </x:is>
      </x:c>
      <x:c r="C29" s="9" t="inlineStr">
        <x:is>
          <x:t xml:space="preserve">Control Plane</x:t>
        </x:is>
      </x:c>
      <x:c r="D29" s="13" t="n">
        <x:v>1</x:v>
      </x:c>
      <x:c r="E29" s="9" t="inlineStr">
        <x:is>
          <x:t xml:space="preserve">Metadata Registry</x:t>
        </x:is>
      </x:c>
      <x:c r="F29" s="9" t="inlineStr">
        <x:is>
          <x:t xml:space="preserve">Implement config validation and publish pipeline</x:t>
        </x:is>
      </x:c>
      <x:c r="G29" s="14" t="inlineStr">
        <x:is>
          <x:t xml:space="preserve">Build CI job to validate configs and publish to registry tables in each environment.</x:t>
        </x:is>
      </x:c>
      <x:c r="H29" s="14" t="inlineStr">
        <x:is>
          <x:t xml:space="preserve">Config publish pipeline</x:t>
        </x:is>
      </x:c>
      <x:c r="I29" s="9" t="inlineStr">
        <x:is>
          <x:t xml:space="preserve">DevOps/Platform Eng</x:t>
        </x:is>
      </x:c>
      <x:c r="J29" s="15" t="inlineStr">
        <x:is>
          <x:t xml:space="preserve">R</x:t>
        </x:is>
      </x:c>
      <x:c r="K29" s="15" t="inlineStr">
        <x:is>
          <x:t xml:space="preserve">P1</x:t>
        </x:is>
      </x:c>
      <x:c r="L29" s="15" t="inlineStr">
        <x:is>
          <x:t xml:space="preserve">Not Started</x:t>
        </x:is>
      </x:c>
      <x:c r="M29" s="16" t="n">
        <x:v>6</x:v>
      </x:c>
      <x:c r="N29" s="13" t="n">
        <x:v>8</x:v>
      </x:c>
      <x:c r="O29" s="13" t="n">
        <x:v>4</x:v>
      </x:c>
      <x:c r="P29" s="13">
        <x:f>O29+ROUNDUP(N29/Inputs!$B$4,0)-1</x:f>
        <x:v>5</x:v>
      </x:c>
      <x:c r="Q29" s="17">
        <x:f>Inputs!$B$3+(O29-1)*Inputs!$B$4</x:f>
        <x:v>46097</x:v>
      </x:c>
      <x:c r="R29" s="17">
        <x:f>Q29+N29-1</x:f>
        <x:v>46104</x:v>
      </x:c>
      <x:c r="S29" s="9" t="inlineStr">
        <x:is>
          <x:t xml:space="preserve">DSN-14,PRC-13</x:t>
        </x:is>
      </x:c>
      <x:c r="T29" s="15" t="inlineStr">
        <x:is>
          <x:t xml:space="preserve">N</x:t>
        </x:is>
      </x:c>
      <x:c r="U29" s="14" t="inlineStr">
        <x:is>
          <x:t xml:space="preserve"/>
        </x:is>
      </x:c>
    </x:row>
    <x:row r="30" ht="42" customHeight="1">
      <x:c r="A30" s="9" t="inlineStr">
        <x:is>
          <x:t xml:space="preserve">IMP-06</x:t>
        </x:is>
      </x:c>
      <x:c r="B30" s="9" t="inlineStr">
        <x:is>
          <x:t xml:space="preserve">Implementation</x:t>
        </x:is>
      </x:c>
      <x:c r="C30" s="9" t="inlineStr">
        <x:is>
          <x:t xml:space="preserve">Connector SDK</x:t>
        </x:is>
      </x:c>
      <x:c r="D30" s="13" t="n">
        <x:v>1</x:v>
      </x:c>
      <x:c r="E30" s="9" t="inlineStr">
        <x:is>
          <x:t xml:space="preserve">Connector Templates</x:t>
        </x:is>
      </x:c>
      <x:c r="F30" s="9" t="inlineStr">
        <x:is>
          <x:t xml:space="preserve">Implement connector template: REST API key</x:t>
        </x:is>
      </x:c>
      <x:c r="G30" s="14" t="inlineStr">
        <x:is>
          <x:t xml:space="preserve">Provide reusable template supporting headers, params, pagination and incremental watermark.</x:t>
        </x:is>
      </x:c>
      <x:c r="H30" s="14" t="inlineStr">
        <x:is>
          <x:t xml:space="preserve">REST API key connector template</x:t>
        </x:is>
      </x:c>
      <x:c r="I30" s="9" t="inlineStr">
        <x:is>
          <x:t xml:space="preserve">Data Engineer</x:t>
        </x:is>
      </x:c>
      <x:c r="J30" s="15" t="inlineStr">
        <x:is>
          <x:t xml:space="preserve">R</x:t>
        </x:is>
      </x:c>
      <x:c r="K30" s="15" t="inlineStr">
        <x:is>
          <x:t xml:space="preserve">P1</x:t>
        </x:is>
      </x:c>
      <x:c r="L30" s="15" t="inlineStr">
        <x:is>
          <x:t xml:space="preserve">Not Started</x:t>
        </x:is>
      </x:c>
      <x:c r="M30" s="16" t="n">
        <x:v>5</x:v>
      </x:c>
      <x:c r="N30" s="13" t="n">
        <x:v>6</x:v>
      </x:c>
      <x:c r="O30" s="13" t="n">
        <x:v>4</x:v>
      </x:c>
      <x:c r="P30" s="13">
        <x:f>O30+ROUNDUP(N30/Inputs!$B$4,0)-1</x:f>
        <x:v>4</x:v>
      </x:c>
      <x:c r="Q30" s="17">
        <x:f>Inputs!$B$3+(O30-1)*Inputs!$B$4</x:f>
        <x:v>46097</x:v>
      </x:c>
      <x:c r="R30" s="17">
        <x:f>Q30+N30-1</x:f>
        <x:v>46102</x:v>
      </x:c>
      <x:c r="S30" s="9" t="inlineStr">
        <x:is>
          <x:t xml:space="preserve">IMP-05</x:t>
        </x:is>
      </x:c>
      <x:c r="T30" s="15" t="inlineStr">
        <x:is>
          <x:t xml:space="preserve">N</x:t>
        </x:is>
      </x:c>
      <x:c r="U30" s="14" t="inlineStr">
        <x:is>
          <x:t xml:space="preserve"/>
        </x:is>
      </x:c>
    </x:row>
    <x:row r="31" ht="42" customHeight="1">
      <x:c r="A31" s="9" t="inlineStr">
        <x:is>
          <x:t xml:space="preserve">IMP-07</x:t>
        </x:is>
      </x:c>
      <x:c r="B31" s="9" t="inlineStr">
        <x:is>
          <x:t xml:space="preserve">Implementation</x:t>
        </x:is>
      </x:c>
      <x:c r="C31" s="9" t="inlineStr">
        <x:is>
          <x:t xml:space="preserve">Connector SDK</x:t>
        </x:is>
      </x:c>
      <x:c r="D31" s="13" t="n">
        <x:v>1</x:v>
      </x:c>
      <x:c r="E31" s="9" t="inlineStr">
        <x:is>
          <x:t xml:space="preserve">Connector Templates</x:t>
        </x:is>
      </x:c>
      <x:c r="F31" s="9" t="inlineStr">
        <x:is>
          <x:t xml:space="preserve">Implement connector template: OAuth2 client credentials</x:t>
        </x:is>
      </x:c>
      <x:c r="G31" s="14" t="inlineStr">
        <x:is>
          <x:t xml:space="preserve">Template for OAuth2 flows with token caching/refresh; supports vendor profiles.</x:t>
        </x:is>
      </x:c>
      <x:c r="H31" s="14" t="inlineStr">
        <x:is>
          <x:t xml:space="preserve">OAuth2 connector template</x:t>
        </x:is>
      </x:c>
      <x:c r="I31" s="9" t="inlineStr">
        <x:is>
          <x:t xml:space="preserve">Data Engineer</x:t>
        </x:is>
      </x:c>
      <x:c r="J31" s="15" t="inlineStr">
        <x:is>
          <x:t xml:space="preserve">R</x:t>
        </x:is>
      </x:c>
      <x:c r="K31" s="15" t="inlineStr">
        <x:is>
          <x:t xml:space="preserve">P0</x:t>
        </x:is>
      </x:c>
      <x:c r="L31" s="15" t="inlineStr">
        <x:is>
          <x:t xml:space="preserve">Not Started</x:t>
        </x:is>
      </x:c>
      <x:c r="M31" s="16" t="n">
        <x:v>6</x:v>
      </x:c>
      <x:c r="N31" s="13" t="n">
        <x:v>7</x:v>
      </x:c>
      <x:c r="O31" s="13" t="n">
        <x:v>4</x:v>
      </x:c>
      <x:c r="P31" s="13">
        <x:f>O31+ROUNDUP(N31/Inputs!$B$4,0)-1</x:f>
        <x:v>4</x:v>
      </x:c>
      <x:c r="Q31" s="17">
        <x:f>Inputs!$B$3+(O31-1)*Inputs!$B$4</x:f>
        <x:v>46097</x:v>
      </x:c>
      <x:c r="R31" s="17">
        <x:f>Q31+N31-1</x:f>
        <x:v>46103</x:v>
      </x:c>
      <x:c r="S31" s="9" t="inlineStr">
        <x:is>
          <x:t xml:space="preserve">IMP-05,IMP-16</x:t>
        </x:is>
      </x:c>
      <x:c r="T31" s="15" t="inlineStr">
        <x:is>
          <x:t xml:space="preserve">N</x:t>
        </x:is>
      </x:c>
      <x:c r="U31" s="14" t="inlineStr">
        <x:is>
          <x:t xml:space="preserve"/>
        </x:is>
      </x:c>
    </x:row>
    <x:row r="32" ht="42" customHeight="1">
      <x:c r="A32" s="9" t="inlineStr">
        <x:is>
          <x:t xml:space="preserve">IMP-08</x:t>
        </x:is>
      </x:c>
      <x:c r="B32" s="9" t="inlineStr">
        <x:is>
          <x:t xml:space="preserve">Implementation</x:t>
        </x:is>
      </x:c>
      <x:c r="C32" s="9" t="inlineStr">
        <x:is>
          <x:t xml:space="preserve">Runtime</x:t>
        </x:is>
      </x:c>
      <x:c r="D32" s="13" t="n">
        <x:v>1</x:v>
      </x:c>
      <x:c r="E32" s="9" t="inlineStr">
        <x:is>
          <x:t xml:space="preserve">Extraction Runtime</x:t>
        </x:is>
      </x:c>
      <x:c r="F32" s="9" t="inlineStr">
        <x:is>
          <x:t xml:space="preserve">Implement HTTP client with retries/backoff/jitter</x:t>
        </x:is>
      </x:c>
      <x:c r="G32" s="14" t="inlineStr">
        <x:is>
          <x:t xml:space="preserve">Standard HTTP layer handling 429/5xx/4xx policies and telemetry.</x:t>
        </x:is>
      </x:c>
      <x:c r="H32" s="14" t="inlineStr">
        <x:is>
          <x:t xml:space="preserve">Resilient HTTP client</x:t>
        </x:is>
      </x:c>
      <x:c r="I32" s="9" t="inlineStr">
        <x:is>
          <x:t xml:space="preserve">Data Engineer</x:t>
        </x:is>
      </x:c>
      <x:c r="J32" s="15" t="inlineStr">
        <x:is>
          <x:t xml:space="preserve">R</x:t>
        </x:is>
      </x:c>
      <x:c r="K32" s="15" t="inlineStr">
        <x:is>
          <x:t xml:space="preserve">P0</x:t>
        </x:is>
      </x:c>
      <x:c r="L32" s="15" t="inlineStr">
        <x:is>
          <x:t xml:space="preserve">Not Started</x:t>
        </x:is>
      </x:c>
      <x:c r="M32" s="16" t="n">
        <x:v>6</x:v>
      </x:c>
      <x:c r="N32" s="13" t="n">
        <x:v>7</x:v>
      </x:c>
      <x:c r="O32" s="13" t="n">
        <x:v>4</x:v>
      </x:c>
      <x:c r="P32" s="13">
        <x:f>O32+ROUNDUP(N32/Inputs!$B$4,0)-1</x:f>
        <x:v>4</x:v>
      </x:c>
      <x:c r="Q32" s="17">
        <x:f>Inputs!$B$3+(O32-1)*Inputs!$B$4</x:f>
        <x:v>46097</x:v>
      </x:c>
      <x:c r="R32" s="17">
        <x:f>Q32+N32-1</x:f>
        <x:v>46103</x:v>
      </x:c>
      <x:c r="S32" s="9" t="inlineStr">
        <x:is>
          <x:t xml:space="preserve">DSN-04</x:t>
        </x:is>
      </x:c>
      <x:c r="T32" s="15" t="inlineStr">
        <x:is>
          <x:t xml:space="preserve">N</x:t>
        </x:is>
      </x:c>
      <x:c r="U32" s="14" t="inlineStr">
        <x:is>
          <x:t xml:space="preserve"/>
        </x:is>
      </x:c>
    </x:row>
    <x:row r="33" ht="42" customHeight="1">
      <x:c r="A33" s="9" t="inlineStr">
        <x:is>
          <x:t xml:space="preserve">IMP-13</x:t>
        </x:is>
      </x:c>
      <x:c r="B33" s="9" t="inlineStr">
        <x:is>
          <x:t xml:space="preserve">Implementation</x:t>
        </x:is>
      </x:c>
      <x:c r="C33" s="9" t="inlineStr">
        <x:is>
          <x:t xml:space="preserve">Bronze</x:t>
        </x:is>
      </x:c>
      <x:c r="D33" s="13" t="n">
        <x:v>1</x:v>
      </x:c>
      <x:c r="E33" s="9" t="inlineStr">
        <x:is>
          <x:t xml:space="preserve">Bronze Contract</x:t>
        </x:is>
      </x:c>
      <x:c r="F33" s="9" t="inlineStr">
        <x:is>
          <x:t xml:space="preserve">Create Bronze databases/schemas and naming conventions</x:t>
        </x:is>
      </x:c>
      <x:c r="G33" s="14" t="inlineStr">
        <x:is>
          <x:t xml:space="preserve">Set up UC catalogs/schemas for bronze and ingestion control tables; permission templates.</x:t>
        </x:is>
      </x:c>
      <x:c r="H33" s="14" t="inlineStr">
        <x:is>
          <x:t xml:space="preserve">UC schemas + conventions applied</x:t>
        </x:is>
      </x:c>
      <x:c r="I33" s="9" t="inlineStr">
        <x:is>
          <x:t xml:space="preserve">Data Platform Architect</x:t>
        </x:is>
      </x:c>
      <x:c r="J33" s="15" t="inlineStr">
        <x:is>
          <x:t xml:space="preserve">A</x:t>
        </x:is>
      </x:c>
      <x:c r="K33" s="15" t="inlineStr">
        <x:is>
          <x:t xml:space="preserve">P0</x:t>
        </x:is>
      </x:c>
      <x:c r="L33" s="15" t="inlineStr">
        <x:is>
          <x:t xml:space="preserve">Not Started</x:t>
        </x:is>
      </x:c>
      <x:c r="M33" s="16" t="n">
        <x:v>4</x:v>
      </x:c>
      <x:c r="N33" s="13" t="n">
        <x:v>5</x:v>
      </x:c>
      <x:c r="O33" s="13" t="n">
        <x:v>4</x:v>
      </x:c>
      <x:c r="P33" s="13">
        <x:f>O33+ROUNDUP(N33/Inputs!$B$4,0)-1</x:f>
        <x:v>4</x:v>
      </x:c>
      <x:c r="Q33" s="17">
        <x:f>Inputs!$B$3+(O33-1)*Inputs!$B$4</x:f>
        <x:v>46097</x:v>
      </x:c>
      <x:c r="R33" s="17">
        <x:f>Q33+N33-1</x:f>
        <x:v>46101</x:v>
      </x:c>
      <x:c r="S33" s="9" t="inlineStr">
        <x:is>
          <x:t xml:space="preserve">DSN-05,PLY-11</x:t>
        </x:is>
      </x:c>
      <x:c r="T33" s="15" t="inlineStr">
        <x:is>
          <x:t xml:space="preserve">N</x:t>
        </x:is>
      </x:c>
      <x:c r="U33" s="14" t="inlineStr">
        <x:is>
          <x:t xml:space="preserve"/>
        </x:is>
      </x:c>
    </x:row>
    <x:row r="34" ht="42" customHeight="1">
      <x:c r="A34" s="9" t="inlineStr">
        <x:is>
          <x:t xml:space="preserve">IMP-09</x:t>
        </x:is>
      </x:c>
      <x:c r="B34" s="9" t="inlineStr">
        <x:is>
          <x:t xml:space="preserve">Implementation</x:t>
        </x:is>
      </x:c>
      <x:c r="C34" s="9" t="inlineStr">
        <x:is>
          <x:t xml:space="preserve">Runtime</x:t>
        </x:is>
      </x:c>
      <x:c r="D34" s="13" t="n">
        <x:v>1</x:v>
      </x:c>
      <x:c r="E34" s="9" t="inlineStr">
        <x:is>
          <x:t xml:space="preserve">Extraction Runtime</x:t>
        </x:is>
      </x:c>
      <x:c r="F34" s="9" t="inlineStr">
        <x:is>
          <x:t xml:space="preserve">Implement pagination strategies</x:t>
        </x:is>
      </x:c>
      <x:c r="G34" s="14" t="inlineStr">
        <x:is>
          <x:t xml:space="preserve">Support page number, next-token, cursor-based pagination as configurable strategies.</x:t>
        </x:is>
      </x:c>
      <x:c r="H34" s="14" t="inlineStr">
        <x:is>
          <x:t xml:space="preserve">Pagination module</x:t>
        </x:is>
      </x:c>
      <x:c r="I34" s="9" t="inlineStr">
        <x:is>
          <x:t xml:space="preserve">Data Engineer</x:t>
        </x:is>
      </x:c>
      <x:c r="J34" s="15" t="inlineStr">
        <x:is>
          <x:t xml:space="preserve">R</x:t>
        </x:is>
      </x:c>
      <x:c r="K34" s="15" t="inlineStr">
        <x:is>
          <x:t xml:space="preserve">P0</x:t>
        </x:is>
      </x:c>
      <x:c r="L34" s="15" t="inlineStr">
        <x:is>
          <x:t xml:space="preserve">Not Started</x:t>
        </x:is>
      </x:c>
      <x:c r="M34" s="16" t="n">
        <x:v>6</x:v>
      </x:c>
      <x:c r="N34" s="13" t="n">
        <x:v>7</x:v>
      </x:c>
      <x:c r="O34" s="13" t="n">
        <x:v>5</x:v>
      </x:c>
      <x:c r="P34" s="13">
        <x:f>O34+ROUNDUP(N34/Inputs!$B$4,0)-1</x:f>
        <x:v>5</x:v>
      </x:c>
      <x:c r="Q34" s="17">
        <x:f>Inputs!$B$3+(O34-1)*Inputs!$B$4</x:f>
        <x:v>46104</x:v>
      </x:c>
      <x:c r="R34" s="17">
        <x:f>Q34+N34-1</x:f>
        <x:v>46110</x:v>
      </x:c>
      <x:c r="S34" s="9" t="inlineStr">
        <x:is>
          <x:t xml:space="preserve">IMP-08</x:t>
        </x:is>
      </x:c>
      <x:c r="T34" s="15" t="inlineStr">
        <x:is>
          <x:t xml:space="preserve">N</x:t>
        </x:is>
      </x:c>
      <x:c r="U34" s="14" t="inlineStr">
        <x:is>
          <x:t xml:space="preserve"/>
        </x:is>
      </x:c>
    </x:row>
    <x:row r="35" ht="42" customHeight="1">
      <x:c r="A35" s="9" t="inlineStr">
        <x:is>
          <x:t xml:space="preserve">IMP-10</x:t>
        </x:is>
      </x:c>
      <x:c r="B35" s="9" t="inlineStr">
        <x:is>
          <x:t xml:space="preserve">Implementation</x:t>
        </x:is>
      </x:c>
      <x:c r="C35" s="9" t="inlineStr">
        <x:is>
          <x:t xml:space="preserve">Runtime</x:t>
        </x:is>
      </x:c>
      <x:c r="D35" s="13" t="n">
        <x:v>1</x:v>
      </x:c>
      <x:c r="E35" s="9" t="inlineStr">
        <x:is>
          <x:t xml:space="preserve">Extraction Runtime</x:t>
        </x:is>
      </x:c>
      <x:c r="F35" s="9" t="inlineStr">
        <x:is>
          <x:t xml:space="preserve">Implement incremental load strategies + checkpointing</x:t>
        </x:is>
      </x:c>
      <x:c r="G35" s="14" t="inlineStr">
        <x:is>
          <x:t xml:space="preserve">Support watermark timestamp, since_id, delta token; persist checkpoints in ingestion.state.</x:t>
        </x:is>
      </x:c>
      <x:c r="H35" s="14" t="inlineStr">
        <x:is>
          <x:t xml:space="preserve">Incremental + checkpoint module</x:t>
        </x:is>
      </x:c>
      <x:c r="I35" s="9" t="inlineStr">
        <x:is>
          <x:t xml:space="preserve">Data Engineer</x:t>
        </x:is>
      </x:c>
      <x:c r="J35" s="15" t="inlineStr">
        <x:is>
          <x:t xml:space="preserve">R</x:t>
        </x:is>
      </x:c>
      <x:c r="K35" s="15" t="inlineStr">
        <x:is>
          <x:t xml:space="preserve">P0</x:t>
        </x:is>
      </x:c>
      <x:c r="L35" s="15" t="inlineStr">
        <x:is>
          <x:t xml:space="preserve">Not Started</x:t>
        </x:is>
      </x:c>
      <x:c r="M35" s="16" t="n">
        <x:v>7</x:v>
      </x:c>
      <x:c r="N35" s="13" t="n">
        <x:v>9</x:v>
      </x:c>
      <x:c r="O35" s="13" t="n">
        <x:v>5</x:v>
      </x:c>
      <x:c r="P35" s="13">
        <x:f>O35+ROUNDUP(N35/Inputs!$B$4,0)-1</x:f>
        <x:v>6</x:v>
      </x:c>
      <x:c r="Q35" s="17">
        <x:f>Inputs!$B$3+(O35-1)*Inputs!$B$4</x:f>
        <x:v>46104</x:v>
      </x:c>
      <x:c r="R35" s="17">
        <x:f>Q35+N35-1</x:f>
        <x:v>46112</x:v>
      </x:c>
      <x:c r="S35" s="9" t="inlineStr">
        <x:is>
          <x:t xml:space="preserve">IMP-03,IMP-08</x:t>
        </x:is>
      </x:c>
      <x:c r="T35" s="15" t="inlineStr">
        <x:is>
          <x:t xml:space="preserve">N</x:t>
        </x:is>
      </x:c>
      <x:c r="U35" s="14" t="inlineStr">
        <x:is>
          <x:t xml:space="preserve"/>
        </x:is>
      </x:c>
    </x:row>
    <x:row r="36" ht="42" customHeight="1">
      <x:c r="A36" s="9" t="inlineStr">
        <x:is>
          <x:t xml:space="preserve">IMP-14</x:t>
        </x:is>
      </x:c>
      <x:c r="B36" s="9" t="inlineStr">
        <x:is>
          <x:t xml:space="preserve">Implementation</x:t>
        </x:is>
      </x:c>
      <x:c r="C36" s="9" t="inlineStr">
        <x:is>
          <x:t xml:space="preserve">Bronze</x:t>
        </x:is>
      </x:c>
      <x:c r="D36" s="13" t="n">
        <x:v>1</x:v>
      </x:c>
      <x:c r="E36" s="9" t="inlineStr">
        <x:is>
          <x:t xml:space="preserve">Bronze Contract</x:t>
        </x:is>
      </x:c>
      <x:c r="F36" s="9" t="inlineStr">
        <x:is>
          <x:t xml:space="preserve">Implement Bronze writer (Delta) with metadata columns</x:t>
        </x:is>
      </x:c>
      <x:c r="G36" s="14" t="inlineStr">
        <x:is>
          <x:t xml:space="preserve">Write raw_payload + ingest metadata; idempotency with payload_hash/record_id; batch write patterns.</x:t>
        </x:is>
      </x:c>
      <x:c r="H36" s="14" t="inlineStr">
        <x:is>
          <x:t xml:space="preserve">Bronze writer module</x:t>
        </x:is>
      </x:c>
      <x:c r="I36" s="9" t="inlineStr">
        <x:is>
          <x:t xml:space="preserve">Data Engineer</x:t>
        </x:is>
      </x:c>
      <x:c r="J36" s="15" t="inlineStr">
        <x:is>
          <x:t xml:space="preserve">R</x:t>
        </x:is>
      </x:c>
      <x:c r="K36" s="15" t="inlineStr">
        <x:is>
          <x:t xml:space="preserve">P0</x:t>
        </x:is>
      </x:c>
      <x:c r="L36" s="15" t="inlineStr">
        <x:is>
          <x:t xml:space="preserve">Not Started</x:t>
        </x:is>
      </x:c>
      <x:c r="M36" s="16" t="n">
        <x:v>6</x:v>
      </x:c>
      <x:c r="N36" s="13" t="n">
        <x:v>8</x:v>
      </x:c>
      <x:c r="O36" s="13" t="n">
        <x:v>5</x:v>
      </x:c>
      <x:c r="P36" s="13">
        <x:f>O36+ROUNDUP(N36/Inputs!$B$4,0)-1</x:f>
        <x:v>6</x:v>
      </x:c>
      <x:c r="Q36" s="17">
        <x:f>Inputs!$B$3+(O36-1)*Inputs!$B$4</x:f>
        <x:v>46104</x:v>
      </x:c>
      <x:c r="R36" s="17">
        <x:f>Q36+N36-1</x:f>
        <x:v>46111</x:v>
      </x:c>
      <x:c r="S36" s="9" t="inlineStr">
        <x:is>
          <x:t xml:space="preserve">IMP-13,DSN-05</x:t>
        </x:is>
      </x:c>
      <x:c r="T36" s="15" t="inlineStr">
        <x:is>
          <x:t xml:space="preserve">N</x:t>
        </x:is>
      </x:c>
      <x:c r="U36" s="14" t="inlineStr">
        <x:is>
          <x:t xml:space="preserve"/>
        </x:is>
      </x:c>
    </x:row>
    <x:row r="37" ht="42" customHeight="1">
      <x:c r="A37" s="9" t="inlineStr">
        <x:is>
          <x:t xml:space="preserve">IMP-11</x:t>
        </x:is>
      </x:c>
      <x:c r="B37" s="9" t="inlineStr">
        <x:is>
          <x:t xml:space="preserve">Implementation</x:t>
        </x:is>
      </x:c>
      <x:c r="C37" s="9" t="inlineStr">
        <x:is>
          <x:t xml:space="preserve">Runtime</x:t>
        </x:is>
      </x:c>
      <x:c r="D37" s="13" t="n">
        <x:v>1</x:v>
      </x:c>
      <x:c r="E37" s="9" t="inlineStr">
        <x:is>
          <x:t xml:space="preserve">Extraction Runtime</x:t>
        </x:is>
      </x:c>
      <x:c r="F37" s="9" t="inlineStr">
        <x:is>
          <x:t xml:space="preserve">Implement rate limiting / throttling controls</x:t>
        </x:is>
      </x:c>
      <x:c r="G37" s="14" t="inlineStr">
        <x:is>
          <x:t xml:space="preserve">Global concurrency limits + per-vendor QPS caps; config-driven.</x:t>
        </x:is>
      </x:c>
      <x:c r="H37" s="14" t="inlineStr">
        <x:is>
          <x:t xml:space="preserve">Throttling module</x:t>
        </x:is>
      </x:c>
      <x:c r="I37" s="9" t="inlineStr">
        <x:is>
          <x:t xml:space="preserve">Data Engineer</x:t>
        </x:is>
      </x:c>
      <x:c r="J37" s="15" t="inlineStr">
        <x:is>
          <x:t xml:space="preserve">R</x:t>
        </x:is>
      </x:c>
      <x:c r="K37" s="15" t="inlineStr">
        <x:is>
          <x:t xml:space="preserve">P1</x:t>
        </x:is>
      </x:c>
      <x:c r="L37" s="15" t="inlineStr">
        <x:is>
          <x:t xml:space="preserve">Not Started</x:t>
        </x:is>
      </x:c>
      <x:c r="M37" s="16" t="n">
        <x:v>5</x:v>
      </x:c>
      <x:c r="N37" s="13" t="n">
        <x:v>6</x:v>
      </x:c>
      <x:c r="O37" s="13" t="n">
        <x:v>6</x:v>
      </x:c>
      <x:c r="P37" s="13">
        <x:f>O37+ROUNDUP(N37/Inputs!$B$4,0)-1</x:f>
        <x:v>6</x:v>
      </x:c>
      <x:c r="Q37" s="17">
        <x:f>Inputs!$B$3+(O37-1)*Inputs!$B$4</x:f>
        <x:v>46111</x:v>
      </x:c>
      <x:c r="R37" s="17">
        <x:f>Q37+N37-1</x:f>
        <x:v>46116</x:v>
      </x:c>
      <x:c r="S37" s="9" t="inlineStr">
        <x:is>
          <x:t xml:space="preserve">IMP-08,DSN-20</x:t>
        </x:is>
      </x:c>
      <x:c r="T37" s="15" t="inlineStr">
        <x:is>
          <x:t xml:space="preserve">N</x:t>
        </x:is>
      </x:c>
      <x:c r="U37" s="14" t="inlineStr">
        <x:is>
          <x:t xml:space="preserve"/>
        </x:is>
      </x:c>
    </x:row>
    <x:row r="38" ht="42" customHeight="1">
      <x:c r="A38" s="9" t="inlineStr">
        <x:is>
          <x:t xml:space="preserve">IMP-12</x:t>
        </x:is>
      </x:c>
      <x:c r="B38" s="9" t="inlineStr">
        <x:is>
          <x:t xml:space="preserve">Implementation</x:t>
        </x:is>
      </x:c>
      <x:c r="C38" s="9" t="inlineStr">
        <x:is>
          <x:t xml:space="preserve">Runtime</x:t>
        </x:is>
      </x:c>
      <x:c r="D38" s="13" t="n">
        <x:v>1</x:v>
      </x:c>
      <x:c r="E38" s="9" t="inlineStr">
        <x:is>
          <x:t xml:space="preserve">Extraction Runtime</x:t>
        </x:is>
      </x:c>
      <x:c r="F38" s="9" t="inlineStr">
        <x:is>
          <x:t xml:space="preserve">Implement circuit breaker &amp; vendor outage handling</x:t>
        </x:is>
      </x:c>
      <x:c r="G38" s="14" t="inlineStr">
        <x:is>
          <x:t xml:space="preserve">Stop hammering failing vendors; mark degraded; auto-recover; emit alerts.</x:t>
        </x:is>
      </x:c>
      <x:c r="H38" s="14" t="inlineStr">
        <x:is>
          <x:t xml:space="preserve">Circuit breaker module</x:t>
        </x:is>
      </x:c>
      <x:c r="I38" s="9" t="inlineStr">
        <x:is>
          <x:t xml:space="preserve">Data Engineer</x:t>
        </x:is>
      </x:c>
      <x:c r="J38" s="15" t="inlineStr">
        <x:is>
          <x:t xml:space="preserve">R</x:t>
        </x:is>
      </x:c>
      <x:c r="K38" s="15" t="inlineStr">
        <x:is>
          <x:t xml:space="preserve">P1</x:t>
        </x:is>
      </x:c>
      <x:c r="L38" s="15" t="inlineStr">
        <x:is>
          <x:t xml:space="preserve">Not Started</x:t>
        </x:is>
      </x:c>
      <x:c r="M38" s="16" t="n">
        <x:v>4</x:v>
      </x:c>
      <x:c r="N38" s="13" t="n">
        <x:v>5</x:v>
      </x:c>
      <x:c r="O38" s="13" t="n">
        <x:v>6</x:v>
      </x:c>
      <x:c r="P38" s="13">
        <x:f>O38+ROUNDUP(N38/Inputs!$B$4,0)-1</x:f>
        <x:v>6</x:v>
      </x:c>
      <x:c r="Q38" s="17">
        <x:f>Inputs!$B$3+(O38-1)*Inputs!$B$4</x:f>
        <x:v>46111</x:v>
      </x:c>
      <x:c r="R38" s="17">
        <x:f>Q38+N38-1</x:f>
        <x:v>46115</x:v>
      </x:c>
      <x:c r="S38" s="9" t="inlineStr">
        <x:is>
          <x:t xml:space="preserve">IMP-08</x:t>
        </x:is>
      </x:c>
      <x:c r="T38" s="15" t="inlineStr">
        <x:is>
          <x:t xml:space="preserve">N</x:t>
        </x:is>
      </x:c>
      <x:c r="U38" s="14" t="inlineStr">
        <x:is>
          <x:t xml:space="preserve"/>
        </x:is>
      </x:c>
    </x:row>
    <x:row r="39" ht="42" customHeight="1">
      <x:c r="A39" s="9" t="inlineStr">
        <x:is>
          <x:t xml:space="preserve">IMP-20</x:t>
        </x:is>
      </x:c>
      <x:c r="B39" s="9" t="inlineStr">
        <x:is>
          <x:t xml:space="preserve">Implementation</x:t>
        </x:is>
      </x:c>
      <x:c r="C39" s="9" t="inlineStr">
        <x:is>
          <x:t xml:space="preserve">Orchestration</x:t>
        </x:is>
      </x:c>
      <x:c r="D39" s="13" t="n">
        <x:v>1</x:v>
      </x:c>
      <x:c r="E39" s="9" t="inlineStr">
        <x:is>
          <x:t xml:space="preserve">Workflows</x:t>
        </x:is>
      </x:c>
      <x:c r="F39" s="9" t="inlineStr">
        <x:is>
          <x:t xml:space="preserve">Implement controller workflow (fan-out per source/endpoint)</x:t>
        </x:is>
      </x:c>
      <x:c r="G39" s="14" t="inlineStr">
        <x:is>
          <x:t xml:space="preserve">Read registry and create tasks with concurrency limits; support retries and backfill runs.</x:t>
        </x:is>
      </x:c>
      <x:c r="H39" s="14" t="inlineStr">
        <x:is>
          <x:t xml:space="preserve">Controller workflow</x:t>
        </x:is>
      </x:c>
      <x:c r="I39" s="9" t="inlineStr">
        <x:is>
          <x:t xml:space="preserve">Data Engineer</x:t>
        </x:is>
      </x:c>
      <x:c r="J39" s="15" t="inlineStr">
        <x:is>
          <x:t xml:space="preserve">R</x:t>
        </x:is>
      </x:c>
      <x:c r="K39" s="15" t="inlineStr">
        <x:is>
          <x:t xml:space="preserve">P0</x:t>
        </x:is>
      </x:c>
      <x:c r="L39" s="15" t="inlineStr">
        <x:is>
          <x:t xml:space="preserve">Not Started</x:t>
        </x:is>
      </x:c>
      <x:c r="M39" s="16" t="n">
        <x:v>8</x:v>
      </x:c>
      <x:c r="N39" s="13" t="n">
        <x:v>10</x:v>
      </x:c>
      <x:c r="O39" s="13" t="n">
        <x:v>6</x:v>
      </x:c>
      <x:c r="P39" s="13">
        <x:f>O39+ROUNDUP(N39/Inputs!$B$4,0)-1</x:f>
        <x:v>7</x:v>
      </x:c>
      <x:c r="Q39" s="17">
        <x:f>Inputs!$B$3+(O39-1)*Inputs!$B$4</x:f>
        <x:v>46111</x:v>
      </x:c>
      <x:c r="R39" s="17">
        <x:f>Q39+N39-1</x:f>
        <x:v>46120</x:v>
      </x:c>
      <x:c r="S39" s="9" t="inlineStr">
        <x:is>
          <x:t xml:space="preserve">IMP-03,DSN-06,IMP-11</x:t>
        </x:is>
      </x:c>
      <x:c r="T39" s="15" t="inlineStr">
        <x:is>
          <x:t xml:space="preserve">N</x:t>
        </x:is>
      </x:c>
      <x:c r="U39" s="14" t="inlineStr">
        <x:is>
          <x:t xml:space="preserve"/>
        </x:is>
      </x:c>
    </x:row>
    <x:row r="40" ht="42" customHeight="1">
      <x:c r="A40" s="9" t="inlineStr">
        <x:is>
          <x:t xml:space="preserve">IMP-21</x:t>
        </x:is>
      </x:c>
      <x:c r="B40" s="9" t="inlineStr">
        <x:is>
          <x:t xml:space="preserve">Implementation</x:t>
        </x:is>
      </x:c>
      <x:c r="C40" s="9" t="inlineStr">
        <x:is>
          <x:t xml:space="preserve">Testing</x:t>
        </x:is>
      </x:c>
      <x:c r="D40" s="13" t="n">
        <x:v>1</x:v>
      </x:c>
      <x:c r="E40" s="9" t="inlineStr">
        <x:is>
          <x:t xml:space="preserve">Test Harness</x:t>
        </x:is>
      </x:c>
      <x:c r="F40" s="9" t="inlineStr">
        <x:is>
          <x:t xml:space="preserve">Build connector test harness with mock server</x:t>
        </x:is>
      </x:c>
      <x:c r="G40" s="14" t="inlineStr">
        <x:is>
          <x:t xml:space="preserve">Provide mock API server + golden responses; integration tests for templates.</x:t>
        </x:is>
      </x:c>
      <x:c r="H40" s="14" t="inlineStr">
        <x:is>
          <x:t xml:space="preserve">Connector test harness</x:t>
        </x:is>
      </x:c>
      <x:c r="I40" s="9" t="inlineStr">
        <x:is>
          <x:t xml:space="preserve">QA/Test</x:t>
        </x:is>
      </x:c>
      <x:c r="J40" s="15" t="inlineStr">
        <x:is>
          <x:t xml:space="preserve">A</x:t>
        </x:is>
      </x:c>
      <x:c r="K40" s="15" t="inlineStr">
        <x:is>
          <x:t xml:space="preserve">P1</x:t>
        </x:is>
      </x:c>
      <x:c r="L40" s="15" t="inlineStr">
        <x:is>
          <x:t xml:space="preserve">Not Started</x:t>
        </x:is>
      </x:c>
      <x:c r="M40" s="16" t="n">
        <x:v>6</x:v>
      </x:c>
      <x:c r="N40" s="13" t="n">
        <x:v>8</x:v>
      </x:c>
      <x:c r="O40" s="13" t="n">
        <x:v>6</x:v>
      </x:c>
      <x:c r="P40" s="13">
        <x:f>O40+ROUNDUP(N40/Inputs!$B$4,0)-1</x:f>
        <x:v>7</x:v>
      </x:c>
      <x:c r="Q40" s="17">
        <x:f>Inputs!$B$3+(O40-1)*Inputs!$B$4</x:f>
        <x:v>46111</x:v>
      </x:c>
      <x:c r="R40" s="17">
        <x:f>Q40+N40-1</x:f>
        <x:v>46118</x:v>
      </x:c>
      <x:c r="S40" s="9" t="inlineStr">
        <x:is>
          <x:t xml:space="preserve">DSN-18,IMP-05</x:t>
        </x:is>
      </x:c>
      <x:c r="T40" s="15" t="inlineStr">
        <x:is>
          <x:t xml:space="preserve">N</x:t>
        </x:is>
      </x:c>
      <x:c r="U40" s="14" t="inlineStr">
        <x:is>
          <x:t xml:space="preserve"/>
        </x:is>
      </x:c>
    </x:row>
    <x:row r="41" ht="42" customHeight="1">
      <x:c r="A41" s="9" t="inlineStr">
        <x:is>
          <x:t xml:space="preserve">IMP-37</x:t>
        </x:is>
      </x:c>
      <x:c r="B41" s="9" t="inlineStr">
        <x:is>
          <x:t xml:space="preserve">Implementation</x:t>
        </x:is>
      </x:c>
      <x:c r="C41" s="9" t="inlineStr">
        <x:is>
          <x:t xml:space="preserve">Compute</x:t>
        </x:is>
      </x:c>
      <x:c r="D41" s="13" t="n">
        <x:v>1</x:v>
      </x:c>
      <x:c r="E41" s="9" t="inlineStr">
        <x:is>
          <x:t xml:space="preserve">Compute Policies</x:t>
        </x:is>
      </x:c>
      <x:c r="F41" s="9" t="inlineStr">
        <x:is>
          <x:t xml:space="preserve">Implement cluster/job compute policies</x:t>
        </x:is>
      </x:c>
      <x:c r="G41" s="14" t="inlineStr">
        <x:is>
          <x:t xml:space="preserve">Configure cluster policies, autoscaling constraints, tagging for cost attribution.</x:t>
        </x:is>
      </x:c>
      <x:c r="H41" s="14" t="inlineStr">
        <x:is>
          <x:t xml:space="preserve">Compute policies enforced</x:t>
        </x:is>
      </x:c>
      <x:c r="I41" s="9" t="inlineStr">
        <x:is>
          <x:t xml:space="preserve">DevOps/Platform Eng</x:t>
        </x:is>
      </x:c>
      <x:c r="J41" s="15" t="inlineStr">
        <x:is>
          <x:t xml:space="preserve">R</x:t>
        </x:is>
      </x:c>
      <x:c r="K41" s="15" t="inlineStr">
        <x:is>
          <x:t xml:space="preserve">P1</x:t>
        </x:is>
      </x:c>
      <x:c r="L41" s="15" t="inlineStr">
        <x:is>
          <x:t xml:space="preserve">Not Started</x:t>
        </x:is>
      </x:c>
      <x:c r="M41" s="16" t="n">
        <x:v>4</x:v>
      </x:c>
      <x:c r="N41" s="13" t="n">
        <x:v>5</x:v>
      </x:c>
      <x:c r="O41" s="13" t="n">
        <x:v>7</x:v>
      </x:c>
      <x:c r="P41" s="13">
        <x:f>O41+ROUNDUP(N41/Inputs!$B$4,0)-1</x:f>
        <x:v>7</x:v>
      </x:c>
      <x:c r="Q41" s="17">
        <x:f>Inputs!$B$3+(O41-1)*Inputs!$B$4</x:f>
        <x:v>46118</x:v>
      </x:c>
      <x:c r="R41" s="17">
        <x:f>Q41+N41-1</x:f>
        <x:v>46122</x:v>
      </x:c>
      <x:c r="S41" s="9" t="inlineStr">
        <x:is>
          <x:t xml:space="preserve">DSN-16</x:t>
        </x:is>
      </x:c>
      <x:c r="T41" s="15" t="inlineStr">
        <x:is>
          <x:t xml:space="preserve">N</x:t>
        </x:is>
      </x:c>
      <x:c r="U41" s="14" t="inlineStr">
        <x:is>
          <x:t xml:space="preserve"/>
        </x:is>
      </x:c>
    </x:row>
    <x:row r="42" ht="42" customHeight="1">
      <x:c r="A42" s="18" t="inlineStr">
        <x:is>
          <x:t xml:space="preserve">IMP-57</x:t>
        </x:is>
      </x:c>
      <x:c r="B42" s="18" t="inlineStr">
        <x:is>
          <x:t xml:space="preserve">Implementation</x:t>
        </x:is>
      </x:c>
      <x:c r="C42" s="18" t="inlineStr">
        <x:is>
          <x:t xml:space="preserve">MVP</x:t>
        </x:is>
      </x:c>
      <x:c r="D42" s="19" t="n">
        <x:v>1</x:v>
      </x:c>
      <x:c r="E42" s="18" t="inlineStr">
        <x:is>
          <x:t xml:space="preserve">Engine MVP</x:t>
        </x:is>
      </x:c>
      <x:c r="F42" s="18" t="inlineStr">
        <x:is>
          <x:t xml:space="preserve">MVP engine end-to-end demo (2 sources)</x:t>
        </x:is>
      </x:c>
      <x:c r="G42" s="20" t="inlineStr">
        <x:is>
          <x:t xml:space="preserve">Demonstrate config-driven ingestion for 2 sources with checkpoints, Bronze writes, metrics, and reruns.</x:t>
        </x:is>
      </x:c>
      <x:c r="H42" s="20" t="inlineStr">
        <x:is>
          <x:t xml:space="preserve">MVP demo evidence</x:t>
        </x:is>
      </x:c>
      <x:c r="I42" s="18" t="inlineStr">
        <x:is>
          <x:t xml:space="preserve">Data Engineer</x:t>
        </x:is>
      </x:c>
      <x:c r="J42" s="21" t="inlineStr">
        <x:is>
          <x:t xml:space="preserve">R</x:t>
        </x:is>
      </x:c>
      <x:c r="K42" s="21" t="inlineStr">
        <x:is>
          <x:t xml:space="preserve">P0</x:t>
        </x:is>
      </x:c>
      <x:c r="L42" s="21" t="inlineStr">
        <x:is>
          <x:t xml:space="preserve">Not Started</x:t>
        </x:is>
      </x:c>
      <x:c r="M42" s="22" t="n">
        <x:v>2</x:v>
      </x:c>
      <x:c r="N42" s="19" t="n">
        <x:v>2</x:v>
      </x:c>
      <x:c r="O42" s="19" t="n">
        <x:v>8</x:v>
      </x:c>
      <x:c r="P42" s="19">
        <x:f>O42+ROUNDUP(N42/Inputs!$B$4,0)-1</x:f>
        <x:v>8</x:v>
      </x:c>
      <x:c r="Q42" s="23">
        <x:f>Inputs!$B$3+(O42-1)*Inputs!$B$4</x:f>
        <x:v>46125</x:v>
      </x:c>
      <x:c r="R42" s="23">
        <x:f>Q42+N42-1</x:f>
        <x:v>46126</x:v>
      </x:c>
      <x:c r="S42" s="18" t="inlineStr">
        <x:is>
          <x:t xml:space="preserve">IMP-05,IMP-10,IMP-14,IMP-23</x:t>
        </x:is>
      </x:c>
      <x:c r="T42" s="21" t="inlineStr">
        <x:is>
          <x:t xml:space="preserve">Y</x:t>
        </x:is>
      </x:c>
      <x:c r="U42" s="20" t="inlineStr">
        <x:is>
          <x:t xml:space="preserve"/>
        </x:is>
      </x:c>
    </x:row>
    <x:row r="43" ht="42" customHeight="1">
      <x:c r="A43" s="9" t="inlineStr">
        <x:is>
          <x:t xml:space="preserve">IMP-15</x:t>
        </x:is>
      </x:c>
      <x:c r="B43" s="9" t="inlineStr">
        <x:is>
          <x:t xml:space="preserve">Implementation</x:t>
        </x:is>
      </x:c>
      <x:c r="C43" s="9" t="inlineStr">
        <x:is>
          <x:t xml:space="preserve">Security</x:t>
        </x:is>
      </x:c>
      <x:c r="D43" s="13" t="n">
        <x:v>2</x:v>
      </x:c>
      <x:c r="E43" s="9" t="inlineStr">
        <x:is>
          <x:t xml:space="preserve">Secrets &amp; Identity</x:t>
        </x:is>
      </x:c>
      <x:c r="F43" s="9" t="inlineStr">
        <x:is>
          <x:t xml:space="preserve">Integrate external secret manager with Databricks secret scopes</x:t>
        </x:is>
      </x:c>
      <x:c r="G43" s="14" t="inlineStr">
        <x:is>
          <x:t xml:space="preserve">Configure secret scopes, references, naming conventions across dev/stage/prod.</x:t>
        </x:is>
      </x:c>
      <x:c r="H43" s="14" t="inlineStr">
        <x:is>
          <x:t xml:space="preserve">Secret manager integration</x:t>
        </x:is>
      </x:c>
      <x:c r="I43" s="9" t="inlineStr">
        <x:is>
          <x:t xml:space="preserve">Security/Identity Eng</x:t>
        </x:is>
      </x:c>
      <x:c r="J43" s="15" t="inlineStr">
        <x:is>
          <x:t xml:space="preserve">A</x:t>
        </x:is>
      </x:c>
      <x:c r="K43" s="15" t="inlineStr">
        <x:is>
          <x:t xml:space="preserve">P0</x:t>
        </x:is>
      </x:c>
      <x:c r="L43" s="15" t="inlineStr">
        <x:is>
          <x:t xml:space="preserve">Not Started</x:t>
        </x:is>
      </x:c>
      <x:c r="M43" s="16" t="n">
        <x:v>6</x:v>
      </x:c>
      <x:c r="N43" s="13" t="n">
        <x:v>7</x:v>
      </x:c>
      <x:c r="O43" s="13" t="n">
        <x:v>4</x:v>
      </x:c>
      <x:c r="P43" s="13">
        <x:f>O43+ROUNDUP(N43/Inputs!$B$4,0)-1</x:f>
        <x:v>4</x:v>
      </x:c>
      <x:c r="Q43" s="17">
        <x:f>Inputs!$B$3+(O43-1)*Inputs!$B$4</x:f>
        <x:v>46097</x:v>
      </x:c>
      <x:c r="R43" s="17">
        <x:f>Q43+N43-1</x:f>
        <x:v>46103</x:v>
      </x:c>
      <x:c r="S43" s="9" t="inlineStr">
        <x:is>
          <x:t xml:space="preserve">DSN-07</x:t>
        </x:is>
      </x:c>
      <x:c r="T43" s="15" t="inlineStr">
        <x:is>
          <x:t xml:space="preserve">N</x:t>
        </x:is>
      </x:c>
      <x:c r="U43" s="14" t="inlineStr">
        <x:is>
          <x:t xml:space="preserve"/>
        </x:is>
      </x:c>
    </x:row>
    <x:row r="44" ht="42" customHeight="1">
      <x:c r="A44" s="9" t="inlineStr">
        <x:is>
          <x:t xml:space="preserve">IMP-18</x:t>
        </x:is>
      </x:c>
      <x:c r="B44" s="9" t="inlineStr">
        <x:is>
          <x:t xml:space="preserve">Implementation</x:t>
        </x:is>
      </x:c>
      <x:c r="C44" s="9" t="inlineStr">
        <x:is>
          <x:t xml:space="preserve">DevSecOps</x:t>
        </x:is>
      </x:c>
      <x:c r="D44" s="13" t="n">
        <x:v>2</x:v>
      </x:c>
      <x:c r="E44" s="9" t="inlineStr">
        <x:is>
          <x:t xml:space="preserve">CI/CD</x:t>
        </x:is>
      </x:c>
      <x:c r="F44" s="9" t="inlineStr">
        <x:is>
          <x:t xml:space="preserve">Implement CI pipeline (tests, lint, packaging)</x:t>
        </x:is>
      </x:c>
      <x:c r="G44" s="14" t="inlineStr">
        <x:is>
          <x:t xml:space="preserve">Build pipeline running unit tests, static checks, dependency scanning, package artifacts.</x:t>
        </x:is>
      </x:c>
      <x:c r="H44" s="14" t="inlineStr">
        <x:is>
          <x:t xml:space="preserve">CI pipeline live</x:t>
        </x:is>
      </x:c>
      <x:c r="I44" s="9" t="inlineStr">
        <x:is>
          <x:t xml:space="preserve">DevOps/Platform Eng</x:t>
        </x:is>
      </x:c>
      <x:c r="J44" s="15" t="inlineStr">
        <x:is>
          <x:t xml:space="preserve">R</x:t>
        </x:is>
      </x:c>
      <x:c r="K44" s="15" t="inlineStr">
        <x:is>
          <x:t xml:space="preserve">P0</x:t>
        </x:is>
      </x:c>
      <x:c r="L44" s="15" t="inlineStr">
        <x:is>
          <x:t xml:space="preserve">Not Started</x:t>
        </x:is>
      </x:c>
      <x:c r="M44" s="16" t="n">
        <x:v>7</x:v>
      </x:c>
      <x:c r="N44" s="13" t="n">
        <x:v>9</x:v>
      </x:c>
      <x:c r="O44" s="13" t="n">
        <x:v>4</x:v>
      </x:c>
      <x:c r="P44" s="13">
        <x:f>O44+ROUNDUP(N44/Inputs!$B$4,0)-1</x:f>
        <x:v>5</x:v>
      </x:c>
      <x:c r="Q44" s="17">
        <x:f>Inputs!$B$3+(O44-1)*Inputs!$B$4</x:f>
        <x:v>46097</x:v>
      </x:c>
      <x:c r="R44" s="17">
        <x:f>Q44+N44-1</x:f>
        <x:v>46105</x:v>
      </x:c>
      <x:c r="S44" s="9" t="inlineStr">
        <x:is>
          <x:t xml:space="preserve">DSN-14,DSN-18</x:t>
        </x:is>
      </x:c>
      <x:c r="T44" s="15" t="inlineStr">
        <x:is>
          <x:t xml:space="preserve">N</x:t>
        </x:is>
      </x:c>
      <x:c r="U44" s="14" t="inlineStr">
        <x:is>
          <x:t xml:space="preserve"/>
        </x:is>
      </x:c>
    </x:row>
    <x:row r="45" ht="42" customHeight="1">
      <x:c r="A45" s="9" t="inlineStr">
        <x:is>
          <x:t xml:space="preserve">IMP-16</x:t>
        </x:is>
      </x:c>
      <x:c r="B45" s="9" t="inlineStr">
        <x:is>
          <x:t xml:space="preserve">Implementation</x:t>
        </x:is>
      </x:c>
      <x:c r="C45" s="9" t="inlineStr">
        <x:is>
          <x:t xml:space="preserve">Security</x:t>
        </x:is>
      </x:c>
      <x:c r="D45" s="13" t="n">
        <x:v>2</x:v>
      </x:c>
      <x:c r="E45" s="9" t="inlineStr">
        <x:is>
          <x:t xml:space="preserve">Secrets &amp; Identity</x:t>
        </x:is>
      </x:c>
      <x:c r="F45" s="9" t="inlineStr">
        <x:is>
          <x:t xml:space="preserve">Implement auth handlers (OAuth2/API key) in runtime</x:t>
        </x:is>
      </x:c>
      <x:c r="G45" s="14" t="inlineStr">
        <x:is>
          <x:t xml:space="preserve">Add auth middleware, token caching, refresh scheduling and safe logging (no secrets).</x:t>
        </x:is>
      </x:c>
      <x:c r="H45" s="14" t="inlineStr">
        <x:is>
          <x:t xml:space="preserve">Auth modules implemented</x:t>
        </x:is>
      </x:c>
      <x:c r="I45" s="9" t="inlineStr">
        <x:is>
          <x:t xml:space="preserve">Data Engineer</x:t>
        </x:is>
      </x:c>
      <x:c r="J45" s="15" t="inlineStr">
        <x:is>
          <x:t xml:space="preserve">R</x:t>
        </x:is>
      </x:c>
      <x:c r="K45" s="15" t="inlineStr">
        <x:is>
          <x:t xml:space="preserve">P0</x:t>
        </x:is>
      </x:c>
      <x:c r="L45" s="15" t="inlineStr">
        <x:is>
          <x:t xml:space="preserve">Not Started</x:t>
        </x:is>
      </x:c>
      <x:c r="M45" s="16" t="n">
        <x:v>6</x:v>
      </x:c>
      <x:c r="N45" s="13" t="n">
        <x:v>7</x:v>
      </x:c>
      <x:c r="O45" s="13" t="n">
        <x:v>5</x:v>
      </x:c>
      <x:c r="P45" s="13">
        <x:f>O45+ROUNDUP(N45/Inputs!$B$4,0)-1</x:f>
        <x:v>5</x:v>
      </x:c>
      <x:c r="Q45" s="17">
        <x:f>Inputs!$B$3+(O45-1)*Inputs!$B$4</x:f>
        <x:v>46104</x:v>
      </x:c>
      <x:c r="R45" s="17">
        <x:f>Q45+N45-1</x:f>
        <x:v>46110</x:v>
      </x:c>
      <x:c r="S45" s="9" t="inlineStr">
        <x:is>
          <x:t xml:space="preserve">IMP-16,IMP-07</x:t>
        </x:is>
      </x:c>
      <x:c r="T45" s="15" t="inlineStr">
        <x:is>
          <x:t xml:space="preserve">N</x:t>
        </x:is>
      </x:c>
      <x:c r="U45" s="14" t="inlineStr">
        <x:is>
          <x:t xml:space="preserve"/>
        </x:is>
      </x:c>
    </x:row>
    <x:row r="46" ht="42" customHeight="1">
      <x:c r="A46" s="9" t="inlineStr">
        <x:is>
          <x:t xml:space="preserve">IMP-17</x:t>
        </x:is>
      </x:c>
      <x:c r="B46" s="9" t="inlineStr">
        <x:is>
          <x:t xml:space="preserve">Implementation</x:t>
        </x:is>
      </x:c>
      <x:c r="C46" s="9" t="inlineStr">
        <x:is>
          <x:t xml:space="preserve">Security</x:t>
        </x:is>
      </x:c>
      <x:c r="D46" s="13" t="n">
        <x:v>2</x:v>
      </x:c>
      <x:c r="E46" s="9" t="inlineStr">
        <x:is>
          <x:t xml:space="preserve">Secrets &amp; Identity</x:t>
        </x:is>
      </x:c>
      <x:c r="F46" s="9" t="inlineStr">
        <x:is>
          <x:t xml:space="preserve">Implement service principals for jobs + UC permissions</x:t>
        </x:is>
      </x:c>
      <x:c r="G46" s="14" t="inlineStr">
        <x:is>
          <x:t xml:space="preserve">Create SPNs, assign policies, grant UC permissions, attach to workflows.</x:t>
        </x:is>
      </x:c>
      <x:c r="H46" s="14" t="inlineStr">
        <x:is>
          <x:t xml:space="preserve">Service principals in place</x:t>
        </x:is>
      </x:c>
      <x:c r="I46" s="9" t="inlineStr">
        <x:is>
          <x:t xml:space="preserve">Security/Identity Eng</x:t>
        </x:is>
      </x:c>
      <x:c r="J46" s="15" t="inlineStr">
        <x:is>
          <x:t xml:space="preserve">A</x:t>
        </x:is>
      </x:c>
      <x:c r="K46" s="15" t="inlineStr">
        <x:is>
          <x:t xml:space="preserve">P0</x:t>
        </x:is>
      </x:c>
      <x:c r="L46" s="15" t="inlineStr">
        <x:is>
          <x:t xml:space="preserve">Not Started</x:t>
        </x:is>
      </x:c>
      <x:c r="M46" s="16" t="n">
        <x:v>5</x:v>
      </x:c>
      <x:c r="N46" s="13" t="n">
        <x:v>6</x:v>
      </x:c>
      <x:c r="O46" s="13" t="n">
        <x:v>5</x:v>
      </x:c>
      <x:c r="P46" s="13">
        <x:f>O46+ROUNDUP(N46/Inputs!$B$4,0)-1</x:f>
        <x:v>5</x:v>
      </x:c>
      <x:c r="Q46" s="17">
        <x:f>Inputs!$B$3+(O46-1)*Inputs!$B$4</x:f>
        <x:v>46104</x:v>
      </x:c>
      <x:c r="R46" s="17">
        <x:f>Q46+N46-1</x:f>
        <x:v>46109</x:v>
      </x:c>
      <x:c r="S46" s="9" t="inlineStr">
        <x:is>
          <x:t xml:space="preserve">SOP-09,PLY-11</x:t>
        </x:is>
      </x:c>
      <x:c r="T46" s="15" t="inlineStr">
        <x:is>
          <x:t xml:space="preserve">N</x:t>
        </x:is>
      </x:c>
      <x:c r="U46" s="14" t="inlineStr">
        <x:is>
          <x:t xml:space="preserve"/>
        </x:is>
      </x:c>
    </x:row>
    <x:row r="47" ht="42" customHeight="1">
      <x:c r="A47" s="9" t="inlineStr">
        <x:is>
          <x:t xml:space="preserve">IMP-19</x:t>
        </x:is>
      </x:c>
      <x:c r="B47" s="9" t="inlineStr">
        <x:is>
          <x:t xml:space="preserve">Implementation</x:t>
        </x:is>
      </x:c>
      <x:c r="C47" s="9" t="inlineStr">
        <x:is>
          <x:t xml:space="preserve">DevSecOps</x:t>
        </x:is>
      </x:c>
      <x:c r="D47" s="13" t="n">
        <x:v>2</x:v>
      </x:c>
      <x:c r="E47" s="9" t="inlineStr">
        <x:is>
          <x:t xml:space="preserve">CD/IaC</x:t>
        </x:is>
      </x:c>
      <x:c r="F47" s="9" t="inlineStr">
        <x:is>
          <x:t xml:space="preserve">Implement IaC for Jobs/Workflows/Permissions</x:t>
        </x:is>
      </x:c>
      <x:c r="G47" s="14" t="inlineStr">
        <x:is>
          <x:t xml:space="preserve">Terraform modules for jobs, clusters, permissions, secret scope references, env configs.</x:t>
        </x:is>
      </x:c>
      <x:c r="H47" s="14" t="inlineStr">
        <x:is>
          <x:t xml:space="preserve">IaC baseline</x:t>
        </x:is>
      </x:c>
      <x:c r="I47" s="9" t="inlineStr">
        <x:is>
          <x:t xml:space="preserve">DevOps/Platform Eng</x:t>
        </x:is>
      </x:c>
      <x:c r="J47" s="15" t="inlineStr">
        <x:is>
          <x:t xml:space="preserve">R</x:t>
        </x:is>
      </x:c>
      <x:c r="K47" s="15" t="inlineStr">
        <x:is>
          <x:t xml:space="preserve">P1</x:t>
        </x:is>
      </x:c>
      <x:c r="L47" s="15" t="inlineStr">
        <x:is>
          <x:t xml:space="preserve">Not Started</x:t>
        </x:is>
      </x:c>
      <x:c r="M47" s="16" t="n">
        <x:v>8</x:v>
      </x:c>
      <x:c r="N47" s="13" t="n">
        <x:v>10</x:v>
      </x:c>
      <x:c r="O47" s="13" t="n">
        <x:v>6</x:v>
      </x:c>
      <x:c r="P47" s="13">
        <x:f>O47+ROUNDUP(N47/Inputs!$B$4,0)-1</x:f>
        <x:v>7</x:v>
      </x:c>
      <x:c r="Q47" s="17">
        <x:f>Inputs!$B$3+(O47-1)*Inputs!$B$4</x:f>
        <x:v>46111</x:v>
      </x:c>
      <x:c r="R47" s="17">
        <x:f>Q47+N47-1</x:f>
        <x:v>46120</x:v>
      </x:c>
      <x:c r="S47" s="9" t="inlineStr">
        <x:is>
          <x:t xml:space="preserve">IMP-19,DSN-14</x:t>
        </x:is>
      </x:c>
      <x:c r="T47" s="15" t="inlineStr">
        <x:is>
          <x:t xml:space="preserve">N</x:t>
        </x:is>
      </x:c>
      <x:c r="U47" s="14" t="inlineStr">
        <x:is>
          <x:t xml:space="preserve"/>
        </x:is>
      </x:c>
    </x:row>
    <x:row r="48" ht="42" customHeight="1">
      <x:c r="A48" s="9" t="inlineStr">
        <x:is>
          <x:t xml:space="preserve">IMP-34</x:t>
        </x:is>
      </x:c>
      <x:c r="B48" s="9" t="inlineStr">
        <x:is>
          <x:t xml:space="preserve">Implementation</x:t>
        </x:is>
      </x:c>
      <x:c r="C48" s="9" t="inlineStr">
        <x:is>
          <x:t xml:space="preserve">Governance</x:t>
        </x:is>
      </x:c>
      <x:c r="D48" s="13" t="n">
        <x:v>2</x:v>
      </x:c>
      <x:c r="E48" s="9" t="inlineStr">
        <x:is>
          <x:t xml:space="preserve">Permissions</x:t>
        </x:is>
      </x:c>
      <x:c r="F48" s="9" t="inlineStr">
        <x:is>
          <x:t xml:space="preserve">Implement UC permission templates (by classification/tier)</x:t>
        </x:is>
      </x:c>
      <x:c r="G48" s="14" t="inlineStr">
        <x:is>
          <x:t xml:space="preserve">Create groups and grants for Bronze/metrics/audit; map to data classification.</x:t>
        </x:is>
      </x:c>
      <x:c r="H48" s="14" t="inlineStr">
        <x:is>
          <x:t xml:space="preserve">UC permissions applied</x:t>
        </x:is>
      </x:c>
      <x:c r="I48" s="9" t="inlineStr">
        <x:is>
          <x:t xml:space="preserve">Security/Identity Eng</x:t>
        </x:is>
      </x:c>
      <x:c r="J48" s="15" t="inlineStr">
        <x:is>
          <x:t xml:space="preserve">A</x:t>
        </x:is>
      </x:c>
      <x:c r="K48" s="15" t="inlineStr">
        <x:is>
          <x:t xml:space="preserve">P0</x:t>
        </x:is>
      </x:c>
      <x:c r="L48" s="15" t="inlineStr">
        <x:is>
          <x:t xml:space="preserve">Not Started</x:t>
        </x:is>
      </x:c>
      <x:c r="M48" s="16" t="n">
        <x:v>5</x:v>
      </x:c>
      <x:c r="N48" s="13" t="n">
        <x:v>6</x:v>
      </x:c>
      <x:c r="O48" s="13" t="n">
        <x:v>7</x:v>
      </x:c>
      <x:c r="P48" s="13">
        <x:f>O48+ROUNDUP(N48/Inputs!$B$4,0)-1</x:f>
        <x:v>7</x:v>
      </x:c>
      <x:c r="Q48" s="17">
        <x:f>Inputs!$B$3+(O48-1)*Inputs!$B$4</x:f>
        <x:v>46118</x:v>
      </x:c>
      <x:c r="R48" s="17">
        <x:f>Q48+N48-1</x:f>
        <x:v>46123</x:v>
      </x:c>
      <x:c r="S48" s="9" t="inlineStr">
        <x:is>
          <x:t xml:space="preserve">PLY-05,PLY-11,IMP-17</x:t>
        </x:is>
      </x:c>
      <x:c r="T48" s="15" t="inlineStr">
        <x:is>
          <x:t xml:space="preserve">N</x:t>
        </x:is>
      </x:c>
      <x:c r="U48" s="14" t="inlineStr">
        <x:is>
          <x:t xml:space="preserve"/>
        </x:is>
      </x:c>
    </x:row>
    <x:row r="49" ht="42" customHeight="1">
      <x:c r="A49" s="18" t="inlineStr">
        <x:is>
          <x:t xml:space="preserve">IMP-56</x:t>
        </x:is>
      </x:c>
      <x:c r="B49" s="18" t="inlineStr">
        <x:is>
          <x:t xml:space="preserve">Implementation</x:t>
        </x:is>
      </x:c>
      <x:c r="C49" s="18" t="inlineStr">
        <x:is>
          <x:t xml:space="preserve">Security</x:t>
        </x:is>
      </x:c>
      <x:c r="D49" s="19" t="n">
        <x:v>2</x:v>
      </x:c>
      <x:c r="E49" s="18" t="inlineStr">
        <x:is>
          <x:t xml:space="preserve">Reviews</x:t>
        </x:is>
      </x:c>
      <x:c r="F49" s="18" t="inlineStr">
        <x:is>
          <x:t xml:space="preserve">Security design review &amp; signoff</x:t>
        </x:is>
      </x:c>
      <x:c r="G49" s="20" t="inlineStr">
        <x:is>
          <x:t xml:space="preserve">Review secrets, identities, access control, logging and rotation; address findings.</x:t>
        </x:is>
      </x:c>
      <x:c r="H49" s="20" t="inlineStr">
        <x:is>
          <x:t xml:space="preserve">Security review signoff</x:t>
        </x:is>
      </x:c>
      <x:c r="I49" s="18" t="inlineStr">
        <x:is>
          <x:t xml:space="preserve">Security/Identity Eng</x:t>
        </x:is>
      </x:c>
      <x:c r="J49" s="21" t="inlineStr">
        <x:is>
          <x:t xml:space="preserve">A</x:t>
        </x:is>
      </x:c>
      <x:c r="K49" s="21" t="inlineStr">
        <x:is>
          <x:t xml:space="preserve">P0</x:t>
        </x:is>
      </x:c>
      <x:c r="L49" s="21" t="inlineStr">
        <x:is>
          <x:t xml:space="preserve">Not Started</x:t>
        </x:is>
      </x:c>
      <x:c r="M49" s="22" t="n">
        <x:v>3</x:v>
      </x:c>
      <x:c r="N49" s="19" t="n">
        <x:v>3</x:v>
      </x:c>
      <x:c r="O49" s="19" t="n">
        <x:v>7</x:v>
      </x:c>
      <x:c r="P49" s="19">
        <x:f>O49+ROUNDUP(N49/Inputs!$B$4,0)-1</x:f>
        <x:v>7</x:v>
      </x:c>
      <x:c r="Q49" s="23">
        <x:f>Inputs!$B$3+(O49-1)*Inputs!$B$4</x:f>
        <x:v>46118</x:v>
      </x:c>
      <x:c r="R49" s="23">
        <x:f>Q49+N49-1</x:f>
        <x:v>46120</x:v>
      </x:c>
      <x:c r="S49" s="18" t="inlineStr">
        <x:is>
          <x:t xml:space="preserve">IMP-16,IMP-17,PLY-16</x:t>
        </x:is>
      </x:c>
      <x:c r="T49" s="21" t="inlineStr">
        <x:is>
          <x:t xml:space="preserve">Y</x:t>
        </x:is>
      </x:c>
      <x:c r="U49" s="20" t="inlineStr">
        <x:is>
          <x:t xml:space="preserve"/>
        </x:is>
      </x:c>
    </x:row>
    <x:row r="50" ht="42" customHeight="1">
      <x:c r="A50" s="9" t="inlineStr">
        <x:is>
          <x:t xml:space="preserve">IMP-33</x:t>
        </x:is>
      </x:c>
      <x:c r="B50" s="9" t="inlineStr">
        <x:is>
          <x:t xml:space="preserve">Implementation</x:t>
        </x:is>
      </x:c>
      <x:c r="C50" s="9" t="inlineStr">
        <x:is>
          <x:t xml:space="preserve">Governance</x:t>
        </x:is>
      </x:c>
      <x:c r="D50" s="13" t="n">
        <x:v>2</x:v>
      </x:c>
      <x:c r="E50" s="9" t="inlineStr">
        <x:is>
          <x:t xml:space="preserve">Documentation</x:t>
        </x:is>
      </x:c>
      <x:c r="F50" s="9" t="inlineStr">
        <x:is>
          <x:t xml:space="preserve">Publish Policies &amp; Processes set (approved)</x:t>
        </x:is>
      </x:c>
      <x:c r="G50" s="14" t="inlineStr">
        <x:is>
          <x:t xml:space="preserve">Create documents, run approvals, publish in central repository with versioning.</x:t>
        </x:is>
      </x:c>
      <x:c r="H50" s="14" t="inlineStr">
        <x:is>
          <x:t xml:space="preserve">Approved governance docs</x:t>
        </x:is>
      </x:c>
      <x:c r="I50" s="9" t="inlineStr">
        <x:is>
          <x:t xml:space="preserve">Product Owner</x:t>
        </x:is>
      </x:c>
      <x:c r="J50" s="15" t="inlineStr">
        <x:is>
          <x:t xml:space="preserve">A</x:t>
        </x:is>
      </x:c>
      <x:c r="K50" s="15" t="inlineStr">
        <x:is>
          <x:t xml:space="preserve">P0</x:t>
        </x:is>
      </x:c>
      <x:c r="L50" s="15" t="inlineStr">
        <x:is>
          <x:t xml:space="preserve">Not Started</x:t>
        </x:is>
      </x:c>
      <x:c r="M50" s="16" t="n">
        <x:v>6</x:v>
      </x:c>
      <x:c r="N50" s="13" t="n">
        <x:v>8</x:v>
      </x:c>
      <x:c r="O50" s="13" t="n">
        <x:v>8</x:v>
      </x:c>
      <x:c r="P50" s="13">
        <x:f>O50+ROUNDUP(N50/Inputs!$B$4,0)-1</x:f>
        <x:v>9</x:v>
      </x:c>
      <x:c r="Q50" s="17">
        <x:f>Inputs!$B$3+(O50-1)*Inputs!$B$4</x:f>
        <x:v>46125</x:v>
      </x:c>
      <x:c r="R50" s="17">
        <x:f>Q50+N50-1</x:f>
        <x:v>46132</x:v>
      </x:c>
      <x:c r="S50" s="9" t="inlineStr">
        <x:is>
          <x:t xml:space="preserve">PLY-01,PLY-02,PLY-03,PLY-07,PRC-01</x:t>
        </x:is>
      </x:c>
      <x:c r="T50" s="15" t="inlineStr">
        <x:is>
          <x:t xml:space="preserve">N</x:t>
        </x:is>
      </x:c>
      <x:c r="U50" s="14" t="inlineStr">
        <x:is>
          <x:t xml:space="preserve"/>
        </x:is>
      </x:c>
    </x:row>
    <x:row r="51" ht="42" customHeight="1">
      <x:c r="A51" s="9" t="inlineStr">
        <x:is>
          <x:t xml:space="preserve">IMP-36</x:t>
        </x:is>
      </x:c>
      <x:c r="B51" s="9" t="inlineStr">
        <x:is>
          <x:t xml:space="preserve">Implementation</x:t>
        </x:is>
      </x:c>
      <x:c r="C51" s="9" t="inlineStr">
        <x:is>
          <x:t xml:space="preserve">DevSecOps</x:t>
        </x:is>
      </x:c>
      <x:c r="D51" s="13" t="n">
        <x:v>2</x:v>
      </x:c>
      <x:c r="E51" s="9" t="inlineStr">
        <x:is>
          <x:t xml:space="preserve">CD</x:t>
        </x:is>
      </x:c>
      <x:c r="F51" s="9" t="inlineStr">
        <x:is>
          <x:t xml:space="preserve">Implement CD pipeline (deploy dev/stage/prod with gates)</x:t>
        </x:is>
      </x:c>
      <x:c r="G51" s="14" t="inlineStr">
        <x:is>
          <x:t xml:space="preserve">Automate deployments of jobs, libraries and configs with approvals and smoke tests.</x:t>
        </x:is>
      </x:c>
      <x:c r="H51" s="14" t="inlineStr">
        <x:is>
          <x:t xml:space="preserve">CD pipeline live</x:t>
        </x:is>
      </x:c>
      <x:c r="I51" s="9" t="inlineStr">
        <x:is>
          <x:t xml:space="preserve">DevOps/Platform Eng</x:t>
        </x:is>
      </x:c>
      <x:c r="J51" s="15" t="inlineStr">
        <x:is>
          <x:t xml:space="preserve">R</x:t>
        </x:is>
      </x:c>
      <x:c r="K51" s="15" t="inlineStr">
        <x:is>
          <x:t xml:space="preserve">P0</x:t>
        </x:is>
      </x:c>
      <x:c r="L51" s="15" t="inlineStr">
        <x:is>
          <x:t xml:space="preserve">Not Started</x:t>
        </x:is>
      </x:c>
      <x:c r="M51" s="16" t="n">
        <x:v>8</x:v>
      </x:c>
      <x:c r="N51" s="13" t="n">
        <x:v>10</x:v>
      </x:c>
      <x:c r="O51" s="13" t="n">
        <x:v>8</x:v>
      </x:c>
      <x:c r="P51" s="13">
        <x:f>O51+ROUNDUP(N51/Inputs!$B$4,0)-1</x:f>
      </x:c>
      <x:c r="Q51" s="17">
        <x:f>Inputs!$B$3+(O51-1)*Inputs!$B$4</x:f>
      </x:c>
      <x:c r="R51" s="17">
        <x:f>Q51+N51-1</x:f>
      </x:c>
      <x:c r="S51" s="9" t="inlineStr">
        <x:is>
          <x:t xml:space="preserve">IMP-20,IMP-19</x:t>
        </x:is>
      </x:c>
      <x:c r="T51" s="15" t="inlineStr">
        <x:is>
          <x:t xml:space="preserve">N</x:t>
        </x:is>
      </x:c>
      <x:c r="U51" s="14" t="inlineStr">
        <x:is>
          <x:t xml:space="preserve"/>
        </x:is>
      </x:c>
    </x:row>
    <x:row r="52" ht="42" customHeight="1">
      <x:c r="A52" s="9" t="inlineStr">
        <x:is>
          <x:t xml:space="preserve">IMP-32</x:t>
        </x:is>
      </x:c>
      <x:c r="B52" s="9" t="inlineStr">
        <x:is>
          <x:t xml:space="preserve">Implementation</x:t>
        </x:is>
      </x:c>
      <x:c r="C52" s="9" t="inlineStr">
        <x:is>
          <x:t xml:space="preserve">Governance</x:t>
        </x:is>
      </x:c>
      <x:c r="D52" s="13" t="n">
        <x:v>2</x:v>
      </x:c>
      <x:c r="E52" s="9" t="inlineStr">
        <x:is>
          <x:t xml:space="preserve">Documentation</x:t>
        </x:is>
      </x:c>
      <x:c r="F52" s="9" t="inlineStr">
        <x:is>
          <x:t xml:space="preserve">Draft Operations Handbook v1</x:t>
        </x:is>
      </x:c>
      <x:c r="G52" s="14" t="inlineStr">
        <x:is>
          <x:t xml:space="preserve">Create handbook: architecture, SLOs, dashboards, alerts, runbooks, escalation, release process.</x:t>
        </x:is>
      </x:c>
      <x:c r="H52" s="14" t="inlineStr">
        <x:is>
          <x:t xml:space="preserve">Ops handbook v1</x:t>
        </x:is>
      </x:c>
      <x:c r="I52" s="9" t="inlineStr">
        <x:is>
          <x:t xml:space="preserve">SRE/Operations</x:t>
        </x:is>
      </x:c>
      <x:c r="J52" s="15" t="inlineStr">
        <x:is>
          <x:t xml:space="preserve">A</x:t>
        </x:is>
      </x:c>
      <x:c r="K52" s="15" t="inlineStr">
        <x:is>
          <x:t xml:space="preserve">P1</x:t>
        </x:is>
      </x:c>
      <x:c r="L52" s="15" t="inlineStr">
        <x:is>
          <x:t xml:space="preserve">Not Started</x:t>
        </x:is>
      </x:c>
      <x:c r="M52" s="16" t="n">
        <x:v>5</x:v>
      </x:c>
      <x:c r="N52" s="13" t="n">
        <x:v>6</x:v>
      </x:c>
      <x:c r="O52" s="13" t="n">
        <x:v>9</x:v>
      </x:c>
      <x:c r="P52" s="13">
        <x:f>O52+ROUNDUP(N52/Inputs!$B$4,0)-1</x:f>
      </x:c>
      <x:c r="Q52" s="17">
        <x:f>Inputs!$B$3+(O52-1)*Inputs!$B$4</x:f>
      </x:c>
      <x:c r="R52" s="17">
        <x:f>Q52+N52-1</x:f>
      </x:c>
      <x:c r="S52" s="9" t="inlineStr">
        <x:is>
          <x:t xml:space="preserve">DSN-15,IMP-24</x:t>
        </x:is>
      </x:c>
      <x:c r="T52" s="15" t="inlineStr">
        <x:is>
          <x:t xml:space="preserve">N</x:t>
        </x:is>
      </x:c>
      <x:c r="U52" s="14" t="inlineStr">
        <x:is>
          <x:t xml:space="preserve"/>
        </x:is>
      </x:c>
    </x:row>
    <x:row r="53" ht="42" customHeight="1">
      <x:c r="A53" s="9" t="inlineStr">
        <x:is>
          <x:t xml:space="preserve">IMP-38</x:t>
        </x:is>
      </x:c>
      <x:c r="B53" s="9" t="inlineStr">
        <x:is>
          <x:t xml:space="preserve">Implementation</x:t>
        </x:is>
      </x:c>
      <x:c r="C53" s="9" t="inlineStr">
        <x:is>
          <x:t xml:space="preserve">Security</x:t>
        </x:is>
      </x:c>
      <x:c r="D53" s="13" t="n">
        <x:v>2</x:v>
      </x:c>
      <x:c r="E53" s="9" t="inlineStr">
        <x:is>
          <x:t xml:space="preserve">Monitoring</x:t>
        </x:is>
      </x:c>
      <x:c r="F53" s="9" t="inlineStr">
        <x:is>
          <x:t xml:space="preserve">Implement security audit logs and monitoring</x:t>
        </x:is>
      </x:c>
      <x:c r="G53" s="14" t="inlineStr">
        <x:is>
          <x:t xml:space="preserve">Capture permission changes, secret scope changes, deploy events; integrate with SIEM if applicable.</x:t>
        </x:is>
      </x:c>
      <x:c r="H53" s="14" t="inlineStr">
        <x:is>
          <x:t xml:space="preserve">Security monitoring live</x:t>
        </x:is>
      </x:c>
      <x:c r="I53" s="9" t="inlineStr">
        <x:is>
          <x:t xml:space="preserve">Security/Identity Eng</x:t>
        </x:is>
      </x:c>
      <x:c r="J53" s="15" t="inlineStr">
        <x:is>
          <x:t xml:space="preserve">A</x:t>
        </x:is>
      </x:c>
      <x:c r="K53" s="15" t="inlineStr">
        <x:is>
          <x:t xml:space="preserve">P1</x:t>
        </x:is>
      </x:c>
      <x:c r="L53" s="15" t="inlineStr">
        <x:is>
          <x:t xml:space="preserve">Not Started</x:t>
        </x:is>
      </x:c>
      <x:c r="M53" s="16" t="n">
        <x:v>5</x:v>
      </x:c>
      <x:c r="N53" s="13" t="n">
        <x:v>6</x:v>
      </x:c>
      <x:c r="O53" s="13" t="n">
        <x:v>9</x:v>
      </x:c>
      <x:c r="P53" s="13">
        <x:f>O53+ROUNDUP(N53/Inputs!$B$4,0)-1</x:f>
      </x:c>
      <x:c r="Q53" s="17">
        <x:f>Inputs!$B$3+(O53-1)*Inputs!$B$4</x:f>
      </x:c>
      <x:c r="R53" s="17">
        <x:f>Q53+N53-1</x:f>
      </x:c>
      <x:c r="S53" s="9" t="inlineStr">
        <x:is>
          <x:t xml:space="preserve">PLY-16,IMP-32</x:t>
        </x:is>
      </x:c>
      <x:c r="T53" s="15" t="inlineStr">
        <x:is>
          <x:t xml:space="preserve">N</x:t>
        </x:is>
      </x:c>
      <x:c r="U53" s="14" t="inlineStr">
        <x:is>
          <x:t xml:space="preserve"/>
        </x:is>
      </x:c>
    </x:row>
    <x:row r="54" ht="42" customHeight="1">
      <x:c r="A54" s="9" t="inlineStr">
        <x:is>
          <x:t xml:space="preserve">IMP-35</x:t>
        </x:is>
      </x:c>
      <x:c r="B54" s="9" t="inlineStr">
        <x:is>
          <x:t xml:space="preserve">Implementation</x:t>
        </x:is>
      </x:c>
      <x:c r="C54" s="9" t="inlineStr">
        <x:is>
          <x:t xml:space="preserve">Governance</x:t>
        </x:is>
      </x:c>
      <x:c r="D54" s="13" t="n">
        <x:v>2</x:v>
      </x:c>
      <x:c r="E54" s="9" t="inlineStr">
        <x:is>
          <x:t xml:space="preserve">Retention</x:t>
        </x:is>
      </x:c>
      <x:c r="F54" s="9" t="inlineStr">
        <x:is>
          <x:t xml:space="preserve">Implement retention purge jobs</x:t>
        </x:is>
      </x:c>
      <x:c r="G54" s="14" t="inlineStr">
        <x:is>
          <x:t xml:space="preserve">Scheduled jobs to enforce Bronze/log/DLQ retention with audit evidence.</x:t>
        </x:is>
      </x:c>
      <x:c r="H54" s="14" t="inlineStr">
        <x:is>
          <x:t xml:space="preserve">Retention jobs live</x:t>
        </x:is>
      </x:c>
      <x:c r="I54" s="9" t="inlineStr">
        <x:is>
          <x:t xml:space="preserve">Data Engineer</x:t>
        </x:is>
      </x:c>
      <x:c r="J54" s="15" t="inlineStr">
        <x:is>
          <x:t xml:space="preserve">R</x:t>
        </x:is>
      </x:c>
      <x:c r="K54" s="15" t="inlineStr">
        <x:is>
          <x:t xml:space="preserve">P1</x:t>
        </x:is>
      </x:c>
      <x:c r="L54" s="15" t="inlineStr">
        <x:is>
          <x:t xml:space="preserve">Not Started</x:t>
        </x:is>
      </x:c>
      <x:c r="M54" s="16" t="n">
        <x:v>4</x:v>
      </x:c>
      <x:c r="N54" s="13" t="n">
        <x:v>5</x:v>
      </x:c>
      <x:c r="O54" s="13" t="n">
        <x:v>11</x:v>
      </x:c>
      <x:c r="P54" s="13">
        <x:f>O54+ROUNDUP(N54/Inputs!$B$4,0)-1</x:f>
      </x:c>
      <x:c r="Q54" s="17">
        <x:f>Inputs!$B$3+(O54-1)*Inputs!$B$4</x:f>
      </x:c>
      <x:c r="R54" s="17">
        <x:f>Q54+N54-1</x:f>
      </x:c>
      <x:c r="S54" s="9" t="inlineStr">
        <x:is>
          <x:t xml:space="preserve">DSN-17,PLY-06</x:t>
        </x:is>
      </x:c>
      <x:c r="T54" s="15" t="inlineStr">
        <x:is>
          <x:t xml:space="preserve">N</x:t>
        </x:is>
      </x:c>
      <x:c r="U54" s="14" t="inlineStr">
        <x:is>
          <x:t xml:space="preserve"/>
        </x:is>
      </x:c>
    </x:row>
    <x:row r="55" ht="42" customHeight="1">
      <x:c r="A55" s="9" t="inlineStr">
        <x:is>
          <x:t xml:space="preserve">IMP-22</x:t>
        </x:is>
      </x:c>
      <x:c r="B55" s="9" t="inlineStr">
        <x:is>
          <x:t xml:space="preserve">Implementation</x:t>
        </x:is>
      </x:c>
      <x:c r="C55" s="9" t="inlineStr">
        <x:is>
          <x:t xml:space="preserve">Observability</x:t>
        </x:is>
      </x:c>
      <x:c r="D55" s="13" t="n">
        <x:v>3</x:v>
      </x:c>
      <x:c r="E55" s="9" t="inlineStr">
        <x:is>
          <x:t xml:space="preserve">Metrics</x:t>
        </x:is>
      </x:c>
      <x:c r="F55" s="9" t="inlineStr">
        <x:is>
          <x:t xml:space="preserve">Implement metrics tables and logging</x:t>
        </x:is>
      </x:c>
      <x:c r="G55" s="14" t="inlineStr">
        <x:is>
          <x:t xml:space="preserve">Create ingestion.runs, ingestion.metrics, ingestion.errors population and standardized logging.</x:t>
        </x:is>
      </x:c>
      <x:c r="H55" s="14" t="inlineStr">
        <x:is>
          <x:t xml:space="preserve">Metrics+logs implemented</x:t>
        </x:is>
      </x:c>
      <x:c r="I55" s="9" t="inlineStr">
        <x:is>
          <x:t xml:space="preserve">Data Engineer</x:t>
        </x:is>
      </x:c>
      <x:c r="J55" s="15" t="inlineStr">
        <x:is>
          <x:t xml:space="preserve">R</x:t>
        </x:is>
      </x:c>
      <x:c r="K55" s="15" t="inlineStr">
        <x:is>
          <x:t xml:space="preserve">P0</x:t>
        </x:is>
      </x:c>
      <x:c r="L55" s="15" t="inlineStr">
        <x:is>
          <x:t xml:space="preserve">Not Started</x:t>
        </x:is>
      </x:c>
      <x:c r="M55" s="16" t="n">
        <x:v>6</x:v>
      </x:c>
      <x:c r="N55" s="13" t="n">
        <x:v>8</x:v>
      </x:c>
      <x:c r="O55" s="13" t="n">
        <x:v>6</x:v>
      </x:c>
      <x:c r="P55" s="13">
        <x:f>O55+ROUNDUP(N55/Inputs!$B$4,0)-1</x:f>
      </x:c>
      <x:c r="Q55" s="17">
        <x:f>Inputs!$B$3+(O55-1)*Inputs!$B$4</x:f>
      </x:c>
      <x:c r="R55" s="17">
        <x:f>Q55+N55-1</x:f>
      </x:c>
      <x:c r="S55" s="9" t="inlineStr">
        <x:is>
          <x:t xml:space="preserve">DSN-08,IMP-03</x:t>
        </x:is>
      </x:c>
      <x:c r="T55" s="15" t="inlineStr">
        <x:is>
          <x:t xml:space="preserve">N</x:t>
        </x:is>
      </x:c>
      <x:c r="U55" s="14" t="inlineStr">
        <x:is>
          <x:t xml:space="preserve"/>
        </x:is>
      </x:c>
    </x:row>
    <x:row r="56" ht="42" customHeight="1">
      <x:c r="A56" s="9" t="inlineStr">
        <x:is>
          <x:t xml:space="preserve">IMP-61</x:t>
        </x:is>
      </x:c>
      <x:c r="B56" s="9" t="inlineStr">
        <x:is>
          <x:t xml:space="preserve">Implementation</x:t>
        </x:is>
      </x:c>
      <x:c r="C56" s="9" t="inlineStr">
        <x:is>
          <x:t xml:space="preserve">Reliability</x:t>
        </x:is>
      </x:c>
      <x:c r="D56" s="13" t="n">
        <x:v>3</x:v>
      </x:c>
      <x:c r="E56" s="9" t="inlineStr">
        <x:is>
          <x:t xml:space="preserve">Idempotency</x:t>
        </x:is>
      </x:c>
      <x:c r="F56" s="9" t="inlineStr">
        <x:is>
          <x:t xml:space="preserve">Implement deduplication/idempotency strategy</x:t>
        </x:is>
      </x:c>
      <x:c r="G56" s="14" t="inlineStr">
        <x:is>
          <x:t xml:space="preserve">Implement payload hashing/record keys and merge strategy where needed; document per-source approach.</x:t>
        </x:is>
      </x:c>
      <x:c r="H56" s="14" t="inlineStr">
        <x:is>
          <x:t xml:space="preserve">Idempotency implemented</x:t>
        </x:is>
      </x:c>
      <x:c r="I56" s="9" t="inlineStr">
        <x:is>
          <x:t xml:space="preserve">Data Engineer</x:t>
        </x:is>
      </x:c>
      <x:c r="J56" s="15" t="inlineStr">
        <x:is>
          <x:t xml:space="preserve">R</x:t>
        </x:is>
      </x:c>
      <x:c r="K56" s="15" t="inlineStr">
        <x:is>
          <x:t xml:space="preserve">P0</x:t>
        </x:is>
      </x:c>
      <x:c r="L56" s="15" t="inlineStr">
        <x:is>
          <x:t xml:space="preserve">Not Started</x:t>
        </x:is>
      </x:c>
      <x:c r="M56" s="16" t="n">
        <x:v>4</x:v>
      </x:c>
      <x:c r="N56" s="13" t="n">
        <x:v>6</x:v>
      </x:c>
      <x:c r="O56" s="13" t="n">
        <x:v>6</x:v>
      </x:c>
      <x:c r="P56" s="13">
        <x:f>O56+ROUNDUP(N56/Inputs!$B$4,0)-1</x:f>
      </x:c>
      <x:c r="Q56" s="17">
        <x:f>Inputs!$B$3+(O56-1)*Inputs!$B$4</x:f>
      </x:c>
      <x:c r="R56" s="17">
        <x:f>Q56+N56-1</x:f>
      </x:c>
      <x:c r="S56" s="9" t="inlineStr">
        <x:is>
          <x:t xml:space="preserve">IMP-14,IMP-10</x:t>
        </x:is>
      </x:c>
      <x:c r="T56" s="15" t="inlineStr">
        <x:is>
          <x:t xml:space="preserve">N</x:t>
        </x:is>
      </x:c>
      <x:c r="U56" s="14" t="inlineStr">
        <x:is>
          <x:t xml:space="preserve"/>
        </x:is>
      </x:c>
    </x:row>
    <x:row r="57" ht="42" customHeight="1">
      <x:c r="A57" s="9" t="inlineStr">
        <x:is>
          <x:t xml:space="preserve">IMP-23</x:t>
        </x:is>
      </x:c>
      <x:c r="B57" s="9" t="inlineStr">
        <x:is>
          <x:t xml:space="preserve">Implementation</x:t>
        </x:is>
      </x:c>
      <x:c r="C57" s="9" t="inlineStr">
        <x:is>
          <x:t xml:space="preserve">Observability</x:t>
        </x:is>
      </x:c>
      <x:c r="D57" s="13" t="n">
        <x:v>3</x:v>
      </x:c>
      <x:c r="E57" s="9" t="inlineStr">
        <x:is>
          <x:t xml:space="preserve">Dashboards</x:t>
        </x:is>
      </x:c>
      <x:c r="F57" s="9" t="inlineStr">
        <x:is>
          <x:t xml:space="preserve">Build Ops dashboard (runs, failures, lag, DLQ)</x:t>
        </x:is>
      </x:c>
      <x:c r="G57" s="14" t="inlineStr">
        <x:is>
          <x:t xml:space="preserve">Create dashboards in chosen tooling (DBSQL/Lakeview/etc.) for ops use.</x:t>
        </x:is>
      </x:c>
      <x:c r="H57" s="14" t="inlineStr">
        <x:is>
          <x:t xml:space="preserve">Ops dashboard v1</x:t>
        </x:is>
      </x:c>
      <x:c r="I57" s="9" t="inlineStr">
        <x:is>
          <x:t xml:space="preserve">SRE/Operations</x:t>
        </x:is>
      </x:c>
      <x:c r="J57" s="15" t="inlineStr">
        <x:is>
          <x:t xml:space="preserve">A</x:t>
        </x:is>
      </x:c>
      <x:c r="K57" s="15" t="inlineStr">
        <x:is>
          <x:t xml:space="preserve">P0</x:t>
        </x:is>
      </x:c>
      <x:c r="L57" s="15" t="inlineStr">
        <x:is>
          <x:t xml:space="preserve">Not Started</x:t>
        </x:is>
      </x:c>
      <x:c r="M57" s="16" t="n">
        <x:v>5</x:v>
      </x:c>
      <x:c r="N57" s="13" t="n">
        <x:v>6</x:v>
      </x:c>
      <x:c r="O57" s="13" t="n">
        <x:v>8</x:v>
      </x:c>
      <x:c r="P57" s="13">
        <x:f>O57+ROUNDUP(N57/Inputs!$B$4,0)-1</x:f>
      </x:c>
      <x:c r="Q57" s="17">
        <x:f>Inputs!$B$3+(O57-1)*Inputs!$B$4</x:f>
      </x:c>
      <x:c r="R57" s="17">
        <x:f>Q57+N57-1</x:f>
      </x:c>
      <x:c r="S57" s="9" t="inlineStr">
        <x:is>
          <x:t xml:space="preserve">IMP-23</x:t>
        </x:is>
      </x:c>
      <x:c r="T57" s="15" t="inlineStr">
        <x:is>
          <x:t xml:space="preserve">N</x:t>
        </x:is>
      </x:c>
      <x:c r="U57" s="14" t="inlineStr">
        <x:is>
          <x:t xml:space="preserve"/>
        </x:is>
      </x:c>
    </x:row>
    <x:row r="58" ht="42" customHeight="1">
      <x:c r="A58" s="9" t="inlineStr">
        <x:is>
          <x:t xml:space="preserve">IMP-26</x:t>
        </x:is>
      </x:c>
      <x:c r="B58" s="9" t="inlineStr">
        <x:is>
          <x:t xml:space="preserve">Implementation</x:t>
        </x:is>
      </x:c>
      <x:c r="C58" s="9" t="inlineStr">
        <x:is>
          <x:t xml:space="preserve">Data Quality</x:t>
        </x:is>
      </x:c>
      <x:c r="D58" s="13" t="n">
        <x:v>3</x:v>
      </x:c>
      <x:c r="E58" s="9" t="inlineStr">
        <x:is>
          <x:t xml:space="preserve">DQ Framework</x:t>
        </x:is>
      </x:c>
      <x:c r="F58" s="9" t="inlineStr">
        <x:is>
          <x:t xml:space="preserve">Implement DQ rule engine (config-driven)</x:t>
        </x:is>
      </x:c>
      <x:c r="G58" s="14" t="inlineStr">
        <x:is>
          <x:t xml:space="preserve">Implement rules evaluation and results table, enforcement modes (warn/quarantine/fail).</x:t>
        </x:is>
      </x:c>
      <x:c r="H58" s="14" t="inlineStr">
        <x:is>
          <x:t xml:space="preserve">DQ engine v1</x:t>
        </x:is>
      </x:c>
      <x:c r="I58" s="9" t="inlineStr">
        <x:is>
          <x:t xml:space="preserve">Data Engineer</x:t>
        </x:is>
      </x:c>
      <x:c r="J58" s="15" t="inlineStr">
        <x:is>
          <x:t xml:space="preserve">R</x:t>
        </x:is>
      </x:c>
      <x:c r="K58" s="15" t="inlineStr">
        <x:is>
          <x:t xml:space="preserve">P1</x:t>
        </x:is>
      </x:c>
      <x:c r="L58" s="15" t="inlineStr">
        <x:is>
          <x:t xml:space="preserve">Not Started</x:t>
        </x:is>
      </x:c>
      <x:c r="M58" s="16" t="n">
        <x:v>7</x:v>
      </x:c>
      <x:c r="N58" s="13" t="n">
        <x:v>9</x:v>
      </x:c>
      <x:c r="O58" s="13" t="n">
        <x:v>8</x:v>
      </x:c>
      <x:c r="P58" s="13">
        <x:f>O58+ROUNDUP(N58/Inputs!$B$4,0)-1</x:f>
      </x:c>
      <x:c r="Q58" s="17">
        <x:f>Inputs!$B$3+(O58-1)*Inputs!$B$4</x:f>
      </x:c>
      <x:c r="R58" s="17">
        <x:f>Q58+N58-1</x:f>
      </x:c>
      <x:c r="S58" s="9" t="inlineStr">
        <x:is>
          <x:t xml:space="preserve">DSN-10,IMP-03</x:t>
        </x:is>
      </x:c>
      <x:c r="T58" s="15" t="inlineStr">
        <x:is>
          <x:t xml:space="preserve">N</x:t>
        </x:is>
      </x:c>
      <x:c r="U58" s="14" t="inlineStr">
        <x:is>
          <x:t xml:space="preserve"/>
        </x:is>
      </x:c>
    </x:row>
    <x:row r="59" ht="42" customHeight="1">
      <x:c r="A59" s="9" t="inlineStr">
        <x:is>
          <x:t xml:space="preserve">IMP-62</x:t>
        </x:is>
      </x:c>
      <x:c r="B59" s="9" t="inlineStr">
        <x:is>
          <x:t xml:space="preserve">Implementation</x:t>
        </x:is>
      </x:c>
      <x:c r="C59" s="9" t="inlineStr">
        <x:is>
          <x:t xml:space="preserve">Operations</x:t>
        </x:is>
      </x:c>
      <x:c r="D59" s="13" t="n">
        <x:v>3</x:v>
      </x:c>
      <x:c r="E59" s="9" t="inlineStr">
        <x:is>
          <x:t xml:space="preserve">Tickets</x:t>
        </x:is>
      </x:c>
      <x:c r="F59" s="9" t="inlineStr">
        <x:is>
          <x:t xml:space="preserve">Set up ticket queues and templates (Incidents/Requests)</x:t>
        </x:is>
      </x:c>
      <x:c r="G59" s="14" t="inlineStr">
        <x:is>
          <x:t xml:space="preserve">Create Jira/ADO templates for incidents, backfill requests, onboarding requests and access reviews.</x:t>
        </x:is>
      </x:c>
      <x:c r="H59" s="14" t="inlineStr">
        <x:is>
          <x:t xml:space="preserve">Ticket templates live</x:t>
        </x:is>
      </x:c>
      <x:c r="I59" s="9" t="inlineStr">
        <x:is>
          <x:t xml:space="preserve">Product Owner</x:t>
        </x:is>
      </x:c>
      <x:c r="J59" s="15" t="inlineStr">
        <x:is>
          <x:t xml:space="preserve">A</x:t>
        </x:is>
      </x:c>
      <x:c r="K59" s="15" t="inlineStr">
        <x:is>
          <x:t xml:space="preserve">P2</x:t>
        </x:is>
      </x:c>
      <x:c r="L59" s="15" t="inlineStr">
        <x:is>
          <x:t xml:space="preserve">Not Started</x:t>
        </x:is>
      </x:c>
      <x:c r="M59" s="16" t="n">
        <x:v>2</x:v>
      </x:c>
      <x:c r="N59" s="13" t="n">
        <x:v>2</x:v>
      </x:c>
      <x:c r="O59" s="13" t="n">
        <x:v>8</x:v>
      </x:c>
      <x:c r="P59" s="13">
        <x:f>O59+ROUNDUP(N59/Inputs!$B$4,0)-1</x:f>
      </x:c>
      <x:c r="Q59" s="17">
        <x:f>Inputs!$B$3+(O59-1)*Inputs!$B$4</x:f>
      </x:c>
      <x:c r="R59" s="17">
        <x:f>Q59+N59-1</x:f>
      </x:c>
      <x:c r="S59" s="9" t="inlineStr">
        <x:is>
          <x:t xml:space="preserve">PLY-02,PRC-02,PRC-06</x:t>
        </x:is>
      </x:c>
      <x:c r="T59" s="15" t="inlineStr">
        <x:is>
          <x:t xml:space="preserve">N</x:t>
        </x:is>
      </x:c>
      <x:c r="U59" s="14" t="inlineStr">
        <x:is>
          <x:t xml:space="preserve"/>
        </x:is>
      </x:c>
    </x:row>
    <x:row r="60" ht="42" customHeight="1">
      <x:c r="A60" s="9" t="inlineStr">
        <x:is>
          <x:t xml:space="preserve">IMP-24</x:t>
        </x:is>
      </x:c>
      <x:c r="B60" s="9" t="inlineStr">
        <x:is>
          <x:t xml:space="preserve">Implementation</x:t>
        </x:is>
      </x:c>
      <x:c r="C60" s="9" t="inlineStr">
        <x:is>
          <x:t xml:space="preserve">Observability</x:t>
        </x:is>
      </x:c>
      <x:c r="D60" s="13" t="n">
        <x:v>3</x:v>
      </x:c>
      <x:c r="E60" s="9" t="inlineStr">
        <x:is>
          <x:t xml:space="preserve">Dashboards</x:t>
        </x:is>
      </x:c>
      <x:c r="F60" s="9" t="inlineStr">
        <x:is>
          <x:t xml:space="preserve">Build Exec dashboard (SLO compliance, top offenders)</x:t>
        </x:is>
      </x:c>
      <x:c r="G60" s="14" t="inlineStr">
        <x:is>
          <x:t xml:space="preserve">High level view; includes tiering filters and trends.</x:t>
        </x:is>
      </x:c>
      <x:c r="H60" s="14" t="inlineStr">
        <x:is>
          <x:t xml:space="preserve">Exec dashboard v1</x:t>
        </x:is>
      </x:c>
      <x:c r="I60" s="9" t="inlineStr">
        <x:is>
          <x:t xml:space="preserve">Product Owner</x:t>
        </x:is>
      </x:c>
      <x:c r="J60" s="15" t="inlineStr">
        <x:is>
          <x:t xml:space="preserve">A</x:t>
        </x:is>
      </x:c>
      <x:c r="K60" s="15" t="inlineStr">
        <x:is>
          <x:t xml:space="preserve">P1</x:t>
        </x:is>
      </x:c>
      <x:c r="L60" s="15" t="inlineStr">
        <x:is>
          <x:t xml:space="preserve">Not Started</x:t>
        </x:is>
      </x:c>
      <x:c r="M60" s="16" t="n">
        <x:v>4</x:v>
      </x:c>
      <x:c r="N60" s="13" t="n">
        <x:v>5</x:v>
      </x:c>
      <x:c r="O60" s="13" t="n">
        <x:v>9</x:v>
      </x:c>
      <x:c r="P60" s="13">
        <x:f>O60+ROUNDUP(N60/Inputs!$B$4,0)-1</x:f>
      </x:c>
      <x:c r="Q60" s="17">
        <x:f>Inputs!$B$3+(O60-1)*Inputs!$B$4</x:f>
      </x:c>
      <x:c r="R60" s="17">
        <x:f>Q60+N60-1</x:f>
      </x:c>
      <x:c r="S60" s="9" t="inlineStr">
        <x:is>
          <x:t xml:space="preserve">IMP-24,PLY-10</x:t>
        </x:is>
      </x:c>
      <x:c r="T60" s="15" t="inlineStr">
        <x:is>
          <x:t xml:space="preserve">N</x:t>
        </x:is>
      </x:c>
      <x:c r="U60" s="14" t="inlineStr">
        <x:is>
          <x:t xml:space="preserve"/>
        </x:is>
      </x:c>
    </x:row>
    <x:row r="61" ht="42" customHeight="1">
      <x:c r="A61" s="9" t="inlineStr">
        <x:is>
          <x:t xml:space="preserve">IMP-25</x:t>
        </x:is>
      </x:c>
      <x:c r="B61" s="9" t="inlineStr">
        <x:is>
          <x:t xml:space="preserve">Implementation</x:t>
        </x:is>
      </x:c>
      <x:c r="C61" s="9" t="inlineStr">
        <x:is>
          <x:t xml:space="preserve">Alerting</x:t>
        </x:is>
      </x:c>
      <x:c r="D61" s="13" t="n">
        <x:v>3</x:v>
      </x:c>
      <x:c r="E61" s="9" t="inlineStr">
        <x:is>
          <x:t xml:space="preserve">Alerts</x:t>
        </x:is>
      </x:c>
      <x:c r="F61" s="9" t="inlineStr">
        <x:is>
          <x:t xml:space="preserve">Implement alert rules + routing</x:t>
        </x:is>
      </x:c>
      <x:c r="G61" s="14" t="inlineStr">
        <x:is>
          <x:t xml:space="preserve">Create alert rules mapped to P0-P3; configure routing to on-call and owners.</x:t>
        </x:is>
      </x:c>
      <x:c r="H61" s="14" t="inlineStr">
        <x:is>
          <x:t xml:space="preserve">Alerts live</x:t>
        </x:is>
      </x:c>
      <x:c r="I61" s="9" t="inlineStr">
        <x:is>
          <x:t xml:space="preserve">SRE/Operations</x:t>
        </x:is>
      </x:c>
      <x:c r="J61" s="15" t="inlineStr">
        <x:is>
          <x:t xml:space="preserve">A</x:t>
        </x:is>
      </x:c>
      <x:c r="K61" s="15" t="inlineStr">
        <x:is>
          <x:t xml:space="preserve">P0</x:t>
        </x:is>
      </x:c>
      <x:c r="L61" s="15" t="inlineStr">
        <x:is>
          <x:t xml:space="preserve">Not Started</x:t>
        </x:is>
      </x:c>
      <x:c r="M61" s="16" t="n">
        <x:v>6</x:v>
      </x:c>
      <x:c r="N61" s="13" t="n">
        <x:v>7</x:v>
      </x:c>
      <x:c r="O61" s="13" t="n">
        <x:v>9</x:v>
      </x:c>
      <x:c r="P61" s="13">
        <x:f>O61+ROUNDUP(N61/Inputs!$B$4,0)-1</x:f>
      </x:c>
      <x:c r="Q61" s="17">
        <x:f>Inputs!$B$3+(O61-1)*Inputs!$B$4</x:f>
      </x:c>
      <x:c r="R61" s="17">
        <x:f>Q61+N61-1</x:f>
      </x:c>
      <x:c r="S61" s="9" t="inlineStr">
        <x:is>
          <x:t xml:space="preserve">DSN-09,IMP-23</x:t>
        </x:is>
      </x:c>
      <x:c r="T61" s="15" t="inlineStr">
        <x:is>
          <x:t xml:space="preserve">N</x:t>
        </x:is>
      </x:c>
      <x:c r="U61" s="14" t="inlineStr">
        <x:is>
          <x:t xml:space="preserve"/>
        </x:is>
      </x:c>
    </x:row>
    <x:row r="62" ht="42" customHeight="1">
      <x:c r="A62" s="9" t="inlineStr">
        <x:is>
          <x:t xml:space="preserve">IMP-27</x:t>
        </x:is>
      </x:c>
      <x:c r="B62" s="9" t="inlineStr">
        <x:is>
          <x:t xml:space="preserve">Implementation</x:t>
        </x:is>
      </x:c>
      <x:c r="C62" s="9" t="inlineStr">
        <x:is>
          <x:t xml:space="preserve">DLQ/Replay</x:t>
        </x:is>
      </x:c>
      <x:c r="D62" s="13" t="n">
        <x:v>3</x:v>
      </x:c>
      <x:c r="E62" s="9" t="inlineStr">
        <x:is>
          <x:t xml:space="preserve">DLQ</x:t>
        </x:is>
      </x:c>
      <x:c r="F62" s="9" t="inlineStr">
        <x:is>
          <x:t xml:space="preserve">Implement DLQ tables + writer</x:t>
        </x:is>
      </x:c>
      <x:c r="G62" s="14" t="inlineStr">
        <x:is>
          <x:t xml:space="preserve">Write failing records and context to DLQ; link to runs/errors; retention.</x:t>
        </x:is>
      </x:c>
      <x:c r="H62" s="14" t="inlineStr">
        <x:is>
          <x:t xml:space="preserve">DLQ implemented</x:t>
        </x:is>
      </x:c>
      <x:c r="I62" s="9" t="inlineStr">
        <x:is>
          <x:t xml:space="preserve">Data Engineer</x:t>
        </x:is>
      </x:c>
      <x:c r="J62" s="15" t="inlineStr">
        <x:is>
          <x:t xml:space="preserve">R</x:t>
        </x:is>
      </x:c>
      <x:c r="K62" s="15" t="inlineStr">
        <x:is>
          <x:t xml:space="preserve">P1</x:t>
        </x:is>
      </x:c>
      <x:c r="L62" s="15" t="inlineStr">
        <x:is>
          <x:t xml:space="preserve">Not Started</x:t>
        </x:is>
      </x:c>
      <x:c r="M62" s="16" t="n">
        <x:v>5</x:v>
      </x:c>
      <x:c r="N62" s="13" t="n">
        <x:v>6</x:v>
      </x:c>
      <x:c r="O62" s="13" t="n">
        <x:v>9</x:v>
      </x:c>
      <x:c r="P62" s="13">
        <x:f>O62+ROUNDUP(N62/Inputs!$B$4,0)-1</x:f>
      </x:c>
      <x:c r="Q62" s="17">
        <x:f>Inputs!$B$3+(O62-1)*Inputs!$B$4</x:f>
      </x:c>
      <x:c r="R62" s="17">
        <x:f>Q62+N62-1</x:f>
      </x:c>
      <x:c r="S62" s="9" t="inlineStr">
        <x:is>
          <x:t xml:space="preserve">DSN-11,IMP-27</x:t>
        </x:is>
      </x:c>
      <x:c r="T62" s="15" t="inlineStr">
        <x:is>
          <x:t xml:space="preserve">N</x:t>
        </x:is>
      </x:c>
      <x:c r="U62" s="14" t="inlineStr">
        <x:is>
          <x:t xml:space="preserve"/>
        </x:is>
      </x:c>
    </x:row>
    <x:row r="63" ht="42" customHeight="1">
      <x:c r="A63" s="9" t="inlineStr">
        <x:is>
          <x:t xml:space="preserve">IMP-29</x:t>
        </x:is>
      </x:c>
      <x:c r="B63" s="9" t="inlineStr">
        <x:is>
          <x:t xml:space="preserve">Implementation</x:t>
        </x:is>
      </x:c>
      <x:c r="C63" s="9" t="inlineStr">
        <x:is>
          <x:t xml:space="preserve">Schema Evolution</x:t>
        </x:is>
      </x:c>
      <x:c r="D63" s="13" t="n">
        <x:v>3</x:v>
      </x:c>
      <x:c r="E63" s="9" t="inlineStr">
        <x:is>
          <x:t xml:space="preserve">Schema Drift</x:t>
        </x:is>
      </x:c>
      <x:c r="F63" s="9" t="inlineStr">
        <x:is>
          <x:t xml:space="preserve">Implement schema drift detection</x:t>
        </x:is>
      </x:c>
      <x:c r="G63" s="14" t="inlineStr">
        <x:is>
          <x:t xml:space="preserve">Detect schema changes (add/remove/type), record versions, quarantine breaking changes.</x:t>
        </x:is>
      </x:c>
      <x:c r="H63" s="14" t="inlineStr">
        <x:is>
          <x:t xml:space="preserve">Schema drift detector v1</x:t>
        </x:is>
      </x:c>
      <x:c r="I63" s="9" t="inlineStr">
        <x:is>
          <x:t xml:space="preserve">Data Engineer</x:t>
        </x:is>
      </x:c>
      <x:c r="J63" s="15" t="inlineStr">
        <x:is>
          <x:t xml:space="preserve">R</x:t>
        </x:is>
      </x:c>
      <x:c r="K63" s="15" t="inlineStr">
        <x:is>
          <x:t xml:space="preserve">P1</x:t>
        </x:is>
      </x:c>
      <x:c r="L63" s="15" t="inlineStr">
        <x:is>
          <x:t xml:space="preserve">Not Started</x:t>
        </x:is>
      </x:c>
      <x:c r="M63" s="16" t="n">
        <x:v>6</x:v>
      </x:c>
      <x:c r="N63" s="13" t="n">
        <x:v>8</x:v>
      </x:c>
      <x:c r="O63" s="13" t="n">
        <x:v>9</x:v>
      </x:c>
      <x:c r="P63" s="13">
        <x:f>O63+ROUNDUP(N63/Inputs!$B$4,0)-1</x:f>
      </x:c>
      <x:c r="Q63" s="17">
        <x:f>Inputs!$B$3+(O63-1)*Inputs!$B$4</x:f>
      </x:c>
      <x:c r="R63" s="17">
        <x:f>Q63+N63-1</x:f>
      </x:c>
      <x:c r="S63" s="9" t="inlineStr">
        <x:is>
          <x:t xml:space="preserve">DSN-12,IMP-14</x:t>
        </x:is>
      </x:c>
      <x:c r="T63" s="15" t="inlineStr">
        <x:is>
          <x:t xml:space="preserve">N</x:t>
        </x:is>
      </x:c>
      <x:c r="U63" s="14" t="inlineStr">
        <x:is>
          <x:t xml:space="preserve"/>
        </x:is>
      </x:c>
    </x:row>
    <x:row r="64" ht="42" customHeight="1">
      <x:c r="A64" s="9" t="inlineStr">
        <x:is>
          <x:t xml:space="preserve">IMP-30</x:t>
        </x:is>
      </x:c>
      <x:c r="B64" s="9" t="inlineStr">
        <x:is>
          <x:t xml:space="preserve">Implementation</x:t>
        </x:is>
      </x:c>
      <x:c r="C64" s="9" t="inlineStr">
        <x:is>
          <x:t xml:space="preserve">Lineage</x:t>
        </x:is>
      </x:c>
      <x:c r="D64" s="13" t="n">
        <x:v>3</x:v>
      </x:c>
      <x:c r="E64" s="9" t="inlineStr">
        <x:is>
          <x:t xml:space="preserve">Audit &amp; Lineage</x:t>
        </x:is>
      </x:c>
      <x:c r="F64" s="9" t="inlineStr">
        <x:is>
          <x:t xml:space="preserve">Implement audit logging tables and events</x:t>
        </x:is>
      </x:c>
      <x:c r="G64" s="14" t="inlineStr">
        <x:is>
          <x:t xml:space="preserve">Populate audit events: deploy versions, config versions, secret references, table writes.</x:t>
        </x:is>
      </x:c>
      <x:c r="H64" s="14" t="inlineStr">
        <x:is>
          <x:t xml:space="preserve">Audit logging v1</x:t>
        </x:is>
      </x:c>
      <x:c r="I64" s="9" t="inlineStr">
        <x:is>
          <x:t xml:space="preserve">Data Engineer</x:t>
        </x:is>
      </x:c>
      <x:c r="J64" s="15" t="inlineStr">
        <x:is>
          <x:t xml:space="preserve">R</x:t>
        </x:is>
      </x:c>
      <x:c r="K64" s="15" t="inlineStr">
        <x:is>
          <x:t xml:space="preserve">P1</x:t>
        </x:is>
      </x:c>
      <x:c r="L64" s="15" t="inlineStr">
        <x:is>
          <x:t xml:space="preserve">Not Started</x:t>
        </x:is>
      </x:c>
      <x:c r="M64" s="16" t="n">
        <x:v>5</x:v>
      </x:c>
      <x:c r="N64" s="13" t="n">
        <x:v>6</x:v>
      </x:c>
      <x:c r="O64" s="13" t="n">
        <x:v>10</x:v>
      </x:c>
      <x:c r="P64" s="13">
        <x:f>O64+ROUNDUP(N64/Inputs!$B$4,0)-1</x:f>
      </x:c>
      <x:c r="Q64" s="17">
        <x:f>Inputs!$B$3+(O64-1)*Inputs!$B$4</x:f>
      </x:c>
      <x:c r="R64" s="17">
        <x:f>Q64+N64-1</x:f>
      </x:c>
      <x:c r="S64" s="9" t="inlineStr">
        <x:is>
          <x:t xml:space="preserve">DSN-13,IMP-23</x:t>
        </x:is>
      </x:c>
      <x:c r="T64" s="15" t="inlineStr">
        <x:is>
          <x:t xml:space="preserve">N</x:t>
        </x:is>
      </x:c>
      <x:c r="U64" s="14" t="inlineStr">
        <x:is>
          <x:t xml:space="preserve"/>
        </x:is>
      </x:c>
    </x:row>
    <x:row r="65" ht="42" customHeight="1">
      <x:c r="A65" s="18" t="inlineStr">
        <x:is>
          <x:t xml:space="preserve">IMP-58</x:t>
        </x:is>
      </x:c>
      <x:c r="B65" s="18" t="inlineStr">
        <x:is>
          <x:t xml:space="preserve">Implementation</x:t>
        </x:is>
      </x:c>
      <x:c r="C65" s="18" t="inlineStr">
        <x:is>
          <x:t xml:space="preserve">Observability</x:t>
        </x:is>
      </x:c>
      <x:c r="D65" s="19" t="n">
        <x:v>3</x:v>
      </x:c>
      <x:c r="E65" s="18" t="inlineStr">
        <x:is>
          <x:t xml:space="preserve">Go-live</x:t>
        </x:is>
      </x:c>
      <x:c r="F65" s="18" t="inlineStr">
        <x:is>
          <x:t xml:space="preserve">Observability framework go-live (dashboards + alerts)</x:t>
        </x:is>
      </x:c>
      <x:c r="G65" s="20" t="inlineStr">
        <x:is>
          <x:t xml:space="preserve">Go-live with dashboards, alerts, routing and runbooks; validate alert storms suppressed.</x:t>
        </x:is>
      </x:c>
      <x:c r="H65" s="20" t="inlineStr">
        <x:is>
          <x:t xml:space="preserve">Observability live</x:t>
        </x:is>
      </x:c>
      <x:c r="I65" s="18" t="inlineStr">
        <x:is>
          <x:t xml:space="preserve">SRE/Operations</x:t>
        </x:is>
      </x:c>
      <x:c r="J65" s="21" t="inlineStr">
        <x:is>
          <x:t xml:space="preserve">A</x:t>
        </x:is>
      </x:c>
      <x:c r="K65" s="21" t="inlineStr">
        <x:is>
          <x:t xml:space="preserve">P0</x:t>
        </x:is>
      </x:c>
      <x:c r="L65" s="21" t="inlineStr">
        <x:is>
          <x:t xml:space="preserve">Not Started</x:t>
        </x:is>
      </x:c>
      <x:c r="M65" s="22" t="n">
        <x:v>2</x:v>
      </x:c>
      <x:c r="N65" s="19" t="n">
        <x:v>2</x:v>
      </x:c>
      <x:c r="O65" s="19" t="n">
        <x:v>10</x:v>
      </x:c>
      <x:c r="P65" s="19">
        <x:f>O65+ROUNDUP(N65/Inputs!$B$4,0)-1</x:f>
      </x:c>
      <x:c r="Q65" s="23">
        <x:f>Inputs!$B$3+(O65-1)*Inputs!$B$4</x:f>
      </x:c>
      <x:c r="R65" s="23">
        <x:f>Q65+N65-1</x:f>
      </x:c>
      <x:c r="S65" s="18" t="inlineStr">
        <x:is>
          <x:t xml:space="preserve">IMP-24,IMP-26,SOP-16</x:t>
        </x:is>
      </x:c>
      <x:c r="T65" s="21" t="inlineStr">
        <x:is>
          <x:t xml:space="preserve">Y</x:t>
        </x:is>
      </x:c>
      <x:c r="U65" s="20" t="inlineStr">
        <x:is>
          <x:t xml:space="preserve"/>
        </x:is>
      </x:c>
    </x:row>
    <x:row r="66" ht="42" customHeight="1">
      <x:c r="A66" s="9" t="inlineStr">
        <x:is>
          <x:t xml:space="preserve">IMP-31</x:t>
        </x:is>
      </x:c>
      <x:c r="B66" s="9" t="inlineStr">
        <x:is>
          <x:t xml:space="preserve">Implementation</x:t>
        </x:is>
      </x:c>
      <x:c r="C66" s="9" t="inlineStr">
        <x:is>
          <x:t xml:space="preserve">Lineage</x:t>
        </x:is>
      </x:c>
      <x:c r="D66" s="13" t="n">
        <x:v>3</x:v>
      </x:c>
      <x:c r="E66" s="9" t="inlineStr">
        <x:is>
          <x:t xml:space="preserve">Audit &amp; Lineage</x:t>
        </x:is>
      </x:c>
      <x:c r="F66" s="9" t="inlineStr">
        <x:is>
          <x:t xml:space="preserve">Enable UC lineage + validate critical flows</x:t>
        </x:is>
      </x:c>
      <x:c r="G66" s="14" t="inlineStr">
        <x:is>
          <x:t xml:space="preserve">Ensure pipelines register lineage; validate on key bronze tables; document limitations.</x:t>
        </x:is>
      </x:c>
      <x:c r="H66" s="14" t="inlineStr">
        <x:is>
          <x:t xml:space="preserve">Lineage enabled + validated</x:t>
        </x:is>
      </x:c>
      <x:c r="I66" s="9" t="inlineStr">
        <x:is>
          <x:t xml:space="preserve">Data Platform Architect</x:t>
        </x:is>
      </x:c>
      <x:c r="J66" s="15" t="inlineStr">
        <x:is>
          <x:t xml:space="preserve">A</x:t>
        </x:is>
      </x:c>
      <x:c r="K66" s="15" t="inlineStr">
        <x:is>
          <x:t xml:space="preserve">P2</x:t>
        </x:is>
      </x:c>
      <x:c r="L66" s="15" t="inlineStr">
        <x:is>
          <x:t xml:space="preserve">Not Started</x:t>
        </x:is>
      </x:c>
      <x:c r="M66" s="16" t="n">
        <x:v>3</x:v>
      </x:c>
      <x:c r="N66" s="13" t="n">
        <x:v>4</x:v>
      </x:c>
      <x:c r="O66" s="13" t="n">
        <x:v>11</x:v>
      </x:c>
      <x:c r="P66" s="13">
        <x:f>O66+ROUNDUP(N66/Inputs!$B$4,0)-1</x:f>
      </x:c>
      <x:c r="Q66" s="17">
        <x:f>Inputs!$B$3+(O66-1)*Inputs!$B$4</x:f>
      </x:c>
      <x:c r="R66" s="17">
        <x:f>Q66+N66-1</x:f>
      </x:c>
      <x:c r="S66" s="9" t="inlineStr">
        <x:is>
          <x:t xml:space="preserve">IMP-32</x:t>
        </x:is>
      </x:c>
      <x:c r="T66" s="15" t="inlineStr">
        <x:is>
          <x:t xml:space="preserve">N</x:t>
        </x:is>
      </x:c>
      <x:c r="U66" s="14" t="inlineStr">
        <x:is>
          <x:t xml:space="preserve"/>
        </x:is>
      </x:c>
    </x:row>
    <x:row r="67" ht="42" customHeight="1">
      <x:c r="A67" s="9" t="inlineStr">
        <x:is>
          <x:t xml:space="preserve">IMP-60</x:t>
        </x:is>
      </x:c>
      <x:c r="B67" s="9" t="inlineStr">
        <x:is>
          <x:t xml:space="preserve">Implementation</x:t>
        </x:is>
      </x:c>
      <x:c r="C67" s="9" t="inlineStr">
        <x:is>
          <x:t xml:space="preserve">Schema Evolution</x:t>
        </x:is>
      </x:c>
      <x:c r="D67" s="13" t="n">
        <x:v>3</x:v>
      </x:c>
      <x:c r="E67" s="9" t="inlineStr">
        <x:is>
          <x:t xml:space="preserve">Policy Enforcement</x:t>
        </x:is>
      </x:c>
      <x:c r="F67" s="9" t="inlineStr">
        <x:is>
          <x:t xml:space="preserve">Implement schema quarantine pipeline</x:t>
        </x:is>
      </x:c>
      <x:c r="G67" s="14" t="inlineStr">
        <x:is>
          <x:t xml:space="preserve">When breaking changes detected, quarantine affected sources/endpoints and notify owners; allow override approvals.</x:t>
        </x:is>
      </x:c>
      <x:c r="H67" s="14" t="inlineStr">
        <x:is>
          <x:t xml:space="preserve">Schema quarantine workflow</x:t>
        </x:is>
      </x:c>
      <x:c r="I67" s="9" t="inlineStr">
        <x:is>
          <x:t xml:space="preserve">Data Engineer</x:t>
        </x:is>
      </x:c>
      <x:c r="J67" s="15" t="inlineStr">
        <x:is>
          <x:t xml:space="preserve">R</x:t>
        </x:is>
      </x:c>
      <x:c r="K67" s="15" t="inlineStr">
        <x:is>
          <x:t xml:space="preserve">P1</x:t>
        </x:is>
      </x:c>
      <x:c r="L67" s="15" t="inlineStr">
        <x:is>
          <x:t xml:space="preserve">Not Started</x:t>
        </x:is>
      </x:c>
      <x:c r="M67" s="16" t="n">
        <x:v>4</x:v>
      </x:c>
      <x:c r="N67" s="13" t="n">
        <x:v>5</x:v>
      </x:c>
      <x:c r="O67" s="13" t="n">
        <x:v>11</x:v>
      </x:c>
      <x:c r="P67" s="13">
        <x:f>O67+ROUNDUP(N67/Inputs!$B$4,0)-1</x:f>
      </x:c>
      <x:c r="Q67" s="17">
        <x:f>Inputs!$B$3+(O67-1)*Inputs!$B$4</x:f>
      </x:c>
      <x:c r="R67" s="17">
        <x:f>Q67+N67-1</x:f>
      </x:c>
      <x:c r="S67" s="9" t="inlineStr">
        <x:is>
          <x:t xml:space="preserve">IMP-31,IMP-26</x:t>
        </x:is>
      </x:c>
      <x:c r="T67" s="15" t="inlineStr">
        <x:is>
          <x:t xml:space="preserve">N</x:t>
        </x:is>
      </x:c>
      <x:c r="U67" s="14" t="inlineStr">
        <x:is>
          <x:t xml:space="preserve"/>
        </x:is>
      </x:c>
    </x:row>
    <x:row r="68" ht="42" customHeight="1">
      <x:c r="A68" s="9" t="inlineStr">
        <x:is>
          <x:t xml:space="preserve">IMP-59</x:t>
        </x:is>
      </x:c>
      <x:c r="B68" s="9" t="inlineStr">
        <x:is>
          <x:t xml:space="preserve">Implementation</x:t>
        </x:is>
      </x:c>
      <x:c r="C68" s="9" t="inlineStr">
        <x:is>
          <x:t xml:space="preserve">Governance</x:t>
        </x:is>
      </x:c>
      <x:c r="D68" s="13" t="n">
        <x:v>4</x:v>
      </x:c>
      <x:c r="E68" s="9" t="inlineStr">
        <x:is>
          <x:t xml:space="preserve">Onboarding</x:t>
        </x:is>
      </x:c>
      <x:c r="F68" s="9" t="inlineStr">
        <x:is>
          <x:t xml:space="preserve">Implement source intake form (template + storage)</x:t>
        </x:is>
      </x:c>
      <x:c r="G68" s="14" t="inlineStr">
        <x:is>
          <x:t xml:space="preserve">Create standardized intake form (Confluence/Sharepoint) and storage; link into onboarding process.</x:t>
        </x:is>
      </x:c>
      <x:c r="H68" s="14" t="inlineStr">
        <x:is>
          <x:t xml:space="preserve">Intake form published</x:t>
        </x:is>
      </x:c>
      <x:c r="I68" s="9" t="inlineStr">
        <x:is>
          <x:t xml:space="preserve">Product Owner</x:t>
        </x:is>
      </x:c>
      <x:c r="J68" s="15" t="inlineStr">
        <x:is>
          <x:t xml:space="preserve">A</x:t>
        </x:is>
      </x:c>
      <x:c r="K68" s="15" t="inlineStr">
        <x:is>
          <x:t xml:space="preserve">P1</x:t>
        </x:is>
      </x:c>
      <x:c r="L68" s="15" t="inlineStr">
        <x:is>
          <x:t xml:space="preserve">Not Started</x:t>
        </x:is>
      </x:c>
      <x:c r="M68" s="16" t="n">
        <x:v>2</x:v>
      </x:c>
      <x:c r="N68" s="13" t="n">
        <x:v>2</x:v>
      </x:c>
      <x:c r="O68" s="13" t="n">
        <x:v>7</x:v>
      </x:c>
      <x:c r="P68" s="13">
        <x:f>O68+ROUNDUP(N68/Inputs!$B$4,0)-1</x:f>
      </x:c>
      <x:c r="Q68" s="17">
        <x:f>Inputs!$B$3+(O68-1)*Inputs!$B$4</x:f>
      </x:c>
      <x:c r="R68" s="17">
        <x:f>Q68+N68-1</x:f>
      </x:c>
      <x:c r="S68" s="9" t="inlineStr">
        <x:is>
          <x:t xml:space="preserve">PRC-06,SOP-21</x:t>
        </x:is>
      </x:c>
      <x:c r="T68" s="15" t="inlineStr">
        <x:is>
          <x:t xml:space="preserve">N</x:t>
        </x:is>
      </x:c>
      <x:c r="U68" s="14" t="inlineStr">
        <x:is>
          <x:t xml:space="preserve"/>
        </x:is>
      </x:c>
    </x:row>
    <x:row r="69" ht="42" customHeight="1">
      <x:c r="A69" s="18" t="inlineStr">
        <x:is>
          <x:t xml:space="preserve">IMP-39</x:t>
        </x:is>
      </x:c>
      <x:c r="B69" s="18" t="inlineStr">
        <x:is>
          <x:t xml:space="preserve">Implementation</x:t>
        </x:is>
      </x:c>
      <x:c r="C69" s="18" t="inlineStr">
        <x:is>
          <x:t xml:space="preserve">Pilot</x:t>
        </x:is>
      </x:c>
      <x:c r="D69" s="19" t="n">
        <x:v>4</x:v>
      </x:c>
      <x:c r="E69" s="18" t="inlineStr">
        <x:is>
          <x:t xml:space="preserve">Pilot Onboarding</x:t>
        </x:is>
      </x:c>
      <x:c r="F69" s="18" t="inlineStr">
        <x:is>
          <x:t xml:space="preserve">Pilot onboarding - Source 1–3 (mixed auth)</x:t>
        </x:is>
      </x:c>
      <x:c r="G69" s="20" t="inlineStr">
        <x:is>
          <x:t xml:space="preserve">Onboard first set of sources covering API key and OAuth2 patterns; verify SLOs and runbooks.</x:t>
        </x:is>
      </x:c>
      <x:c r="H69" s="20" t="inlineStr">
        <x:is>
          <x:t xml:space="preserve">3 pilot sources in prod</x:t>
        </x:is>
      </x:c>
      <x:c r="I69" s="18" t="inlineStr">
        <x:is>
          <x:t xml:space="preserve">Data Engineer</x:t>
        </x:is>
      </x:c>
      <x:c r="J69" s="21" t="inlineStr">
        <x:is>
          <x:t xml:space="preserve">R</x:t>
        </x:is>
      </x:c>
      <x:c r="K69" s="21" t="inlineStr">
        <x:is>
          <x:t xml:space="preserve">P0</x:t>
        </x:is>
      </x:c>
      <x:c r="L69" s="21" t="inlineStr">
        <x:is>
          <x:t xml:space="preserve">Not Started</x:t>
        </x:is>
      </x:c>
      <x:c r="M69" s="22" t="n">
        <x:v>10</x:v>
      </x:c>
      <x:c r="N69" s="19" t="n">
        <x:v>10</x:v>
      </x:c>
      <x:c r="O69" s="19" t="n">
        <x:v>9</x:v>
      </x:c>
      <x:c r="P69" s="19">
        <x:f>O69+ROUNDUP(N69/Inputs!$B$4,0)-1</x:f>
      </x:c>
      <x:c r="Q69" s="23">
        <x:f>Inputs!$B$3+(O69-1)*Inputs!$B$4</x:f>
      </x:c>
      <x:c r="R69" s="23">
        <x:f>Q69+N69-1</x:f>
      </x:c>
      <x:c r="S69" s="18" t="inlineStr">
        <x:is>
          <x:t xml:space="preserve">IMP-21,IMP-07,IMP-23,IMP-24</x:t>
        </x:is>
      </x:c>
      <x:c r="T69" s="21" t="inlineStr">
        <x:is>
          <x:t xml:space="preserve">Y</x:t>
        </x:is>
      </x:c>
      <x:c r="U69" s="20" t="inlineStr">
        <x:is>
          <x:t xml:space="preserve"/>
        </x:is>
      </x:c>
    </x:row>
    <x:row r="70" ht="42" customHeight="1">
      <x:c r="A70" s="9" t="inlineStr">
        <x:is>
          <x:t xml:space="preserve">IMP-28</x:t>
        </x:is>
      </x:c>
      <x:c r="B70" s="9" t="inlineStr">
        <x:is>
          <x:t xml:space="preserve">Implementation</x:t>
        </x:is>
      </x:c>
      <x:c r="C70" s="9" t="inlineStr">
        <x:is>
          <x:t xml:space="preserve">DLQ/Replay</x:t>
        </x:is>
      </x:c>
      <x:c r="D70" s="13" t="n">
        <x:v>4</x:v>
      </x:c>
      <x:c r="E70" s="9" t="inlineStr">
        <x:is>
          <x:t xml:space="preserve">Replay</x:t>
        </x:is>
      </x:c>
      <x:c r="F70" s="9" t="inlineStr">
        <x:is>
          <x:t xml:space="preserve">Implement replay tooling (by run_id/window/DLQ)</x:t>
        </x:is>
      </x:c>
      <x:c r="G70" s="14" t="inlineStr">
        <x:is>
          <x:t xml:space="preserve">Jobs/notebooks for safe replay; ensure idempotency; capture evidence.</x:t>
        </x:is>
      </x:c>
      <x:c r="H70" s="14" t="inlineStr">
        <x:is>
          <x:t xml:space="preserve">Replay tooling</x:t>
        </x:is>
      </x:c>
      <x:c r="I70" s="9" t="inlineStr">
        <x:is>
          <x:t xml:space="preserve">Data Engineer</x:t>
        </x:is>
      </x:c>
      <x:c r="J70" s="15" t="inlineStr">
        <x:is>
          <x:t xml:space="preserve">R</x:t>
        </x:is>
      </x:c>
      <x:c r="K70" s="15" t="inlineStr">
        <x:is>
          <x:t xml:space="preserve">P1</x:t>
        </x:is>
      </x:c>
      <x:c r="L70" s="15" t="inlineStr">
        <x:is>
          <x:t xml:space="preserve">Not Started</x:t>
        </x:is>
      </x:c>
      <x:c r="M70" s="16" t="n">
        <x:v>5</x:v>
      </x:c>
      <x:c r="N70" s="13" t="n">
        <x:v>6</x:v>
      </x:c>
      <x:c r="O70" s="13" t="n">
        <x:v>10</x:v>
      </x:c>
      <x:c r="P70" s="13">
        <x:f>O70+ROUNDUP(N70/Inputs!$B$4,0)-1</x:f>
      </x:c>
      <x:c r="Q70" s="17">
        <x:f>Inputs!$B$3+(O70-1)*Inputs!$B$4</x:f>
      </x:c>
      <x:c r="R70" s="17">
        <x:f>Q70+N70-1</x:f>
      </x:c>
      <x:c r="S70" s="9" t="inlineStr">
        <x:is>
          <x:t xml:space="preserve">IMP-28,IMP-10</x:t>
        </x:is>
      </x:c>
      <x:c r="T70" s="15" t="inlineStr">
        <x:is>
          <x:t xml:space="preserve">N</x:t>
        </x:is>
      </x:c>
      <x:c r="U70" s="14" t="inlineStr">
        <x:is>
          <x:t xml:space="preserve"/>
        </x:is>
      </x:c>
    </x:row>
    <x:row r="71" ht="42" customHeight="1">
      <x:c r="A71" s="9" t="inlineStr">
        <x:is>
          <x:t xml:space="preserve">IMP-40</x:t>
        </x:is>
      </x:c>
      <x:c r="B71" s="9" t="inlineStr">
        <x:is>
          <x:t xml:space="preserve">Implementation</x:t>
        </x:is>
      </x:c>
      <x:c r="C71" s="9" t="inlineStr">
        <x:is>
          <x:t xml:space="preserve">Pilot</x:t>
        </x:is>
      </x:c>
      <x:c r="D71" s="13" t="n">
        <x:v>4</x:v>
      </x:c>
      <x:c r="E71" s="9" t="inlineStr">
        <x:is>
          <x:t xml:space="preserve">Pilot Onboarding</x:t>
        </x:is>
      </x:c>
      <x:c r="F71" s="9" t="inlineStr">
        <x:is>
          <x:t xml:space="preserve">Pilot onboarding - Source 4–8 (pagination + rate limits)</x:t>
        </x:is>
      </x:c>
      <x:c r="G71" s="14" t="inlineStr">
        <x:is>
          <x:t xml:space="preserve">Onboard sources with complex pagination and strict rate limits; tune throttling; validate alerts.</x:t>
        </x:is>
      </x:c>
      <x:c r="H71" s="14" t="inlineStr">
        <x:is>
          <x:t xml:space="preserve">8 pilot sources total</x:t>
        </x:is>
      </x:c>
      <x:c r="I71" s="9" t="inlineStr">
        <x:is>
          <x:t xml:space="preserve">Data Engineer</x:t>
        </x:is>
      </x:c>
      <x:c r="J71" s="15" t="inlineStr">
        <x:is>
          <x:t xml:space="preserve">R</x:t>
        </x:is>
      </x:c>
      <x:c r="K71" s="15" t="inlineStr">
        <x:is>
          <x:t xml:space="preserve">P0</x:t>
        </x:is>
      </x:c>
      <x:c r="L71" s="15" t="inlineStr">
        <x:is>
          <x:t xml:space="preserve">Not Started</x:t>
        </x:is>
      </x:c>
      <x:c r="M71" s="16" t="n">
        <x:v>12</x:v>
      </x:c>
      <x:c r="N71" s="13" t="n">
        <x:v>12</x:v>
      </x:c>
      <x:c r="O71" s="13" t="n">
        <x:v>10</x:v>
      </x:c>
      <x:c r="P71" s="13">
        <x:f>O71+ROUNDUP(N71/Inputs!$B$4,0)-1</x:f>
      </x:c>
      <x:c r="Q71" s="17">
        <x:f>Inputs!$B$3+(O71-1)*Inputs!$B$4</x:f>
      </x:c>
      <x:c r="R71" s="17">
        <x:f>Q71+N71-1</x:f>
      </x:c>
      <x:c r="S71" s="9" t="inlineStr">
        <x:is>
          <x:t xml:space="preserve">IMP-42,IMP-26</x:t>
        </x:is>
      </x:c>
      <x:c r="T71" s="15" t="inlineStr">
        <x:is>
          <x:t xml:space="preserve">N</x:t>
        </x:is>
      </x:c>
      <x:c r="U71" s="14" t="inlineStr">
        <x:is>
          <x:t xml:space="preserve"/>
        </x:is>
      </x:c>
    </x:row>
    <x:row r="72" ht="42" customHeight="1">
      <x:c r="A72" s="9" t="inlineStr">
        <x:is>
          <x:t xml:space="preserve">IMP-42</x:t>
        </x:is>
      </x:c>
      <x:c r="B72" s="9" t="inlineStr">
        <x:is>
          <x:t xml:space="preserve">Implementation</x:t>
        </x:is>
      </x:c>
      <x:c r="C72" s="9" t="inlineStr">
        <x:is>
          <x:t xml:space="preserve">Testing</x:t>
        </x:is>
      </x:c>
      <x:c r="D72" s="13" t="n">
        <x:v>4</x:v>
      </x:c>
      <x:c r="E72" s="9" t="inlineStr">
        <x:is>
          <x:t xml:space="preserve">Contract Tests</x:t>
        </x:is>
      </x:c>
      <x:c r="F72" s="9" t="inlineStr">
        <x:is>
          <x:t xml:space="preserve">Implement contract tests for pilot APIs</x:t>
        </x:is>
      </x:c>
      <x:c r="G72" s="14" t="inlineStr">
        <x:is>
          <x:t xml:space="preserve">Create schema/response contract tests for pilot sources; schedule daily checks in non-prod.</x:t>
        </x:is>
      </x:c>
      <x:c r="H72" s="14" t="inlineStr">
        <x:is>
          <x:t xml:space="preserve">Pilot contract tests</x:t>
        </x:is>
      </x:c>
      <x:c r="I72" s="9" t="inlineStr">
        <x:is>
          <x:t xml:space="preserve">QA/Test</x:t>
        </x:is>
      </x:c>
      <x:c r="J72" s="15" t="inlineStr">
        <x:is>
          <x:t xml:space="preserve">A</x:t>
        </x:is>
      </x:c>
      <x:c r="K72" s="15" t="inlineStr">
        <x:is>
          <x:t xml:space="preserve">P1</x:t>
        </x:is>
      </x:c>
      <x:c r="L72" s="15" t="inlineStr">
        <x:is>
          <x:t xml:space="preserve">Not Started</x:t>
        </x:is>
      </x:c>
      <x:c r="M72" s="16" t="n">
        <x:v>6</x:v>
      </x:c>
      <x:c r="N72" s="13" t="n">
        <x:v>8</x:v>
      </x:c>
      <x:c r="O72" s="13" t="n">
        <x:v>10</x:v>
      </x:c>
      <x:c r="P72" s="13">
        <x:f>O72+ROUNDUP(N72/Inputs!$B$4,0)-1</x:f>
      </x:c>
      <x:c r="Q72" s="17">
        <x:f>Inputs!$B$3+(O72-1)*Inputs!$B$4</x:f>
      </x:c>
      <x:c r="R72" s="17">
        <x:f>Q72+N72-1</x:f>
      </x:c>
      <x:c r="S72" s="9" t="inlineStr">
        <x:is>
          <x:t xml:space="preserve">IMP-22,IMP-43</x:t>
        </x:is>
      </x:c>
      <x:c r="T72" s="15" t="inlineStr">
        <x:is>
          <x:t xml:space="preserve">N</x:t>
        </x:is>
      </x:c>
      <x:c r="U72" s="14" t="inlineStr">
        <x:is>
          <x:t xml:space="preserve"/>
        </x:is>
      </x:c>
    </x:row>
    <x:row r="73" ht="42" customHeight="1">
      <x:c r="A73" s="18" t="inlineStr">
        <x:is>
          <x:t xml:space="preserve">IMP-41</x:t>
        </x:is>
      </x:c>
      <x:c r="B73" s="18" t="inlineStr">
        <x:is>
          <x:t xml:space="preserve">Implementation</x:t>
        </x:is>
      </x:c>
      <x:c r="C73" s="18" t="inlineStr">
        <x:is>
          <x:t xml:space="preserve">Pilot</x:t>
        </x:is>
      </x:c>
      <x:c r="D73" s="19" t="n">
        <x:v>4</x:v>
      </x:c>
      <x:c r="E73" s="18" t="inlineStr">
        <x:is>
          <x:t xml:space="preserve">Pilot Validation</x:t>
        </x:is>
      </x:c>
      <x:c r="F73" s="18" t="inlineStr">
        <x:is>
          <x:t xml:space="preserve">Pilot stabilization period (2 weeks)</x:t>
        </x:is>
      </x:c>
      <x:c r="G73" s="20" t="inlineStr">
        <x:is>
          <x:t xml:space="preserve">Operate pilot with on-call processes; fix defects; finalize templates and thresholds.</x:t>
        </x:is>
      </x:c>
      <x:c r="H73" s="20" t="inlineStr">
        <x:is>
          <x:t xml:space="preserve">Pilot stability report</x:t>
        </x:is>
      </x:c>
      <x:c r="I73" s="18" t="inlineStr">
        <x:is>
          <x:t xml:space="preserve">SRE/Operations</x:t>
        </x:is>
      </x:c>
      <x:c r="J73" s="21" t="inlineStr">
        <x:is>
          <x:t xml:space="preserve">A</x:t>
        </x:is>
      </x:c>
      <x:c r="K73" s="21" t="inlineStr">
        <x:is>
          <x:t xml:space="preserve">P0</x:t>
        </x:is>
      </x:c>
      <x:c r="L73" s="21" t="inlineStr">
        <x:is>
          <x:t xml:space="preserve">Not Started</x:t>
        </x:is>
      </x:c>
      <x:c r="M73" s="22" t="n">
        <x:v>8</x:v>
      </x:c>
      <x:c r="N73" s="19" t="n">
        <x:v>10</x:v>
      </x:c>
      <x:c r="O73" s="19" t="n">
        <x:v>11</x:v>
      </x:c>
      <x:c r="P73" s="19">
        <x:f>O73+ROUNDUP(N73/Inputs!$B$4,0)-1</x:f>
      </x:c>
      <x:c r="Q73" s="23">
        <x:f>Inputs!$B$3+(O73-1)*Inputs!$B$4</x:f>
      </x:c>
      <x:c r="R73" s="23">
        <x:f>Q73+N73-1</x:f>
      </x:c>
      <x:c r="S73" s="18" t="inlineStr">
        <x:is>
          <x:t xml:space="preserve">IMP-43</x:t>
        </x:is>
      </x:c>
      <x:c r="T73" s="21" t="inlineStr">
        <x:is>
          <x:t xml:space="preserve">Y</x:t>
        </x:is>
      </x:c>
      <x:c r="U73" s="20" t="inlineStr">
        <x:is>
          <x:t xml:space="preserve"/>
        </x:is>
      </x:c>
    </x:row>
    <x:row r="74" ht="42" customHeight="1">
      <x:c r="A74" s="9" t="inlineStr">
        <x:is>
          <x:t xml:space="preserve">IMP-45</x:t>
        </x:is>
      </x:c>
      <x:c r="B74" s="9" t="inlineStr">
        <x:is>
          <x:t xml:space="preserve">Implementation</x:t>
        </x:is>
      </x:c>
      <x:c r="C74" s="9" t="inlineStr">
        <x:is>
          <x:t xml:space="preserve">Scale-out</x:t>
        </x:is>
      </x:c>
      <x:c r="D74" s="13" t="n">
        <x:v>5</x:v>
      </x:c>
      <x:c r="E74" s="9" t="inlineStr">
        <x:is>
          <x:t xml:space="preserve">Wave 1</x:t>
        </x:is>
      </x:c>
      <x:c r="F74" s="9" t="inlineStr">
        <x:is>
          <x:t xml:space="preserve">Wave 1 onboarding (20 APIs)</x:t>
        </x:is>
      </x:c>
      <x:c r="G74" s="14" t="inlineStr">
        <x:is>
          <x:t xml:space="preserve">Onboard next 20 standard-pattern APIs using templates; measure throughput and incident rate.</x:t>
        </x:is>
      </x:c>
      <x:c r="H74" s="14" t="inlineStr">
        <x:is>
          <x:t xml:space="preserve">20 new APIs live</x:t>
        </x:is>
      </x:c>
      <x:c r="I74" s="9" t="inlineStr">
        <x:is>
          <x:t xml:space="preserve">Data Engineer</x:t>
        </x:is>
      </x:c>
      <x:c r="J74" s="15" t="inlineStr">
        <x:is>
          <x:t xml:space="preserve">R</x:t>
        </x:is>
      </x:c>
      <x:c r="K74" s="15" t="inlineStr">
        <x:is>
          <x:t xml:space="preserve">P1</x:t>
        </x:is>
      </x:c>
      <x:c r="L74" s="15" t="inlineStr">
        <x:is>
          <x:t xml:space="preserve">Not Started</x:t>
        </x:is>
      </x:c>
      <x:c r="M74" s="16" t="n">
        <x:v>20</x:v>
      </x:c>
      <x:c r="N74" s="13" t="n">
        <x:v>10</x:v>
      </x:c>
      <x:c r="O74" s="13" t="n">
        <x:v>14</x:v>
      </x:c>
      <x:c r="P74" s="13">
        <x:f>O74+ROUNDUP(N74/Inputs!$B$4,0)-1</x:f>
      </x:c>
      <x:c r="Q74" s="17">
        <x:f>Inputs!$B$3+(O74-1)*Inputs!$B$4</x:f>
      </x:c>
      <x:c r="R74" s="17">
        <x:f>Q74+N74-1</x:f>
      </x:c>
      <x:c r="S74" s="9" t="inlineStr">
        <x:is>
          <x:t xml:space="preserve">IMP-44,DSN-19</x:t>
        </x:is>
      </x:c>
      <x:c r="T74" s="15" t="inlineStr">
        <x:is>
          <x:t xml:space="preserve">N</x:t>
        </x:is>
      </x:c>
      <x:c r="U74" s="14" t="inlineStr">
        <x:is>
          <x:t xml:space="preserve"/>
        </x:is>
      </x:c>
    </x:row>
    <x:row r="75" ht="42" customHeight="1">
      <x:c r="A75" s="9" t="inlineStr">
        <x:is>
          <x:t xml:space="preserve">IMP-46</x:t>
        </x:is>
      </x:c>
      <x:c r="B75" s="9" t="inlineStr">
        <x:is>
          <x:t xml:space="preserve">Implementation</x:t>
        </x:is>
      </x:c>
      <x:c r="C75" s="9" t="inlineStr">
        <x:is>
          <x:t xml:space="preserve">Scale-out</x:t>
        </x:is>
      </x:c>
      <x:c r="D75" s="13" t="n">
        <x:v>5</x:v>
      </x:c>
      <x:c r="E75" s="9" t="inlineStr">
        <x:is>
          <x:t xml:space="preserve">Wave 1</x:t>
        </x:is>
      </x:c>
      <x:c r="F75" s="9" t="inlineStr">
        <x:is>
          <x:t xml:space="preserve">Wave 1 retrospectives + template improvements</x:t>
        </x:is>
      </x:c>
      <x:c r="G75" s="14" t="inlineStr">
        <x:is>
          <x:t xml:space="preserve">Review onboarding pain points; improve templates, docs, dashboards; tune defaults.</x:t>
        </x:is>
      </x:c>
      <x:c r="H75" s="14" t="inlineStr">
        <x:is>
          <x:t xml:space="preserve">Improvement backlog + releases</x:t>
        </x:is>
      </x:c>
      <x:c r="I75" s="9" t="inlineStr">
        <x:is>
          <x:t xml:space="preserve">Data Platform Architect</x:t>
        </x:is>
      </x:c>
      <x:c r="J75" s="15" t="inlineStr">
        <x:is>
          <x:t xml:space="preserve">A</x:t>
        </x:is>
      </x:c>
      <x:c r="K75" s="15" t="inlineStr">
        <x:is>
          <x:t xml:space="preserve">P2</x:t>
        </x:is>
      </x:c>
      <x:c r="L75" s="15" t="inlineStr">
        <x:is>
          <x:t xml:space="preserve">Not Started</x:t>
        </x:is>
      </x:c>
      <x:c r="M75" s="16" t="n">
        <x:v>5</x:v>
      </x:c>
      <x:c r="N75" s="13" t="n">
        <x:v>5</x:v>
      </x:c>
      <x:c r="O75" s="13" t="n">
        <x:v>16</x:v>
      </x:c>
      <x:c r="P75" s="13">
        <x:f>O75+ROUNDUP(N75/Inputs!$B$4,0)-1</x:f>
      </x:c>
      <x:c r="Q75" s="17">
        <x:f>Inputs!$B$3+(O75-1)*Inputs!$B$4</x:f>
      </x:c>
      <x:c r="R75" s="17">
        <x:f>Q75+N75-1</x:f>
      </x:c>
      <x:c r="S75" s="9" t="inlineStr">
        <x:is>
          <x:t xml:space="preserve">IMP-49</x:t>
        </x:is>
      </x:c>
      <x:c r="T75" s="15" t="inlineStr">
        <x:is>
          <x:t xml:space="preserve">N</x:t>
        </x:is>
      </x:c>
      <x:c r="U75" s="14" t="inlineStr">
        <x:is>
          <x:t xml:space="preserve"/>
        </x:is>
      </x:c>
    </x:row>
    <x:row r="76" ht="42" customHeight="1">
      <x:c r="A76" s="9" t="inlineStr">
        <x:is>
          <x:t xml:space="preserve">IMP-50</x:t>
        </x:is>
      </x:c>
      <x:c r="B76" s="9" t="inlineStr">
        <x:is>
          <x:t xml:space="preserve">Implementation</x:t>
        </x:is>
      </x:c>
      <x:c r="C76" s="9" t="inlineStr">
        <x:is>
          <x:t xml:space="preserve">Scale-out</x:t>
        </x:is>
      </x:c>
      <x:c r="D76" s="13" t="n">
        <x:v>5</x:v>
      </x:c>
      <x:c r="E76" s="9" t="inlineStr">
        <x:is>
          <x:t xml:space="preserve">Automation</x:t>
        </x:is>
      </x:c>
      <x:c r="F76" s="9" t="inlineStr">
        <x:is>
          <x:t xml:space="preserve">Build bulk onboarding helper (config generator)</x:t>
        </x:is>
      </x:c>
      <x:c r="G76" s="14" t="inlineStr">
        <x:is>
          <x:t xml:space="preserve">Tooling (notebook/UI) to generate validated configs and vendor profiles from intake forms.</x:t>
        </x:is>
      </x:c>
      <x:c r="H76" s="14" t="inlineStr">
        <x:is>
          <x:t xml:space="preserve">Bulk onboarding tool</x:t>
        </x:is>
      </x:c>
      <x:c r="I76" s="9" t="inlineStr">
        <x:is>
          <x:t xml:space="preserve">Data Engineer</x:t>
        </x:is>
      </x:c>
      <x:c r="J76" s="15" t="inlineStr">
        <x:is>
          <x:t xml:space="preserve">R</x:t>
        </x:is>
      </x:c>
      <x:c r="K76" s="15" t="inlineStr">
        <x:is>
          <x:t xml:space="preserve">P2</x:t>
        </x:is>
      </x:c>
      <x:c r="L76" s="15" t="inlineStr">
        <x:is>
          <x:t xml:space="preserve">Not Started</x:t>
        </x:is>
      </x:c>
      <x:c r="M76" s="16" t="n">
        <x:v>8</x:v>
      </x:c>
      <x:c r="N76" s="13" t="n">
        <x:v>10</x:v>
      </x:c>
      <x:c r="O76" s="13" t="n">
        <x:v>16</x:v>
      </x:c>
      <x:c r="P76" s="13">
        <x:f>O76+ROUNDUP(N76/Inputs!$B$4,0)-1</x:f>
      </x:c>
      <x:c r="Q76" s="17">
        <x:f>Inputs!$B$3+(O76-1)*Inputs!$B$4</x:f>
      </x:c>
      <x:c r="R76" s="17">
        <x:f>Q76+N76-1</x:f>
      </x:c>
      <x:c r="S76" s="9" t="inlineStr">
        <x:is>
          <x:t xml:space="preserve">DSN-19,IMP-35</x:t>
        </x:is>
      </x:c>
      <x:c r="T76" s="15" t="inlineStr">
        <x:is>
          <x:t xml:space="preserve">N</x:t>
        </x:is>
      </x:c>
      <x:c r="U76" s="14" t="inlineStr">
        <x:is>
          <x:t xml:space="preserve"/>
        </x:is>
      </x:c>
    </x:row>
    <x:row r="77" ht="42" customHeight="1">
      <x:c r="A77" s="9" t="inlineStr">
        <x:is>
          <x:t xml:space="preserve">IMP-47</x:t>
        </x:is>
      </x:c>
      <x:c r="B77" s="9" t="inlineStr">
        <x:is>
          <x:t xml:space="preserve">Implementation</x:t>
        </x:is>
      </x:c>
      <x:c r="C77" s="9" t="inlineStr">
        <x:is>
          <x:t xml:space="preserve">Scale-out</x:t>
        </x:is>
      </x:c>
      <x:c r="D77" s="13" t="n">
        <x:v>5</x:v>
      </x:c>
      <x:c r="E77" s="9" t="inlineStr">
        <x:is>
          <x:t xml:space="preserve">Wave 2</x:t>
        </x:is>
      </x:c>
      <x:c r="F77" s="9" t="inlineStr">
        <x:is>
          <x:t xml:space="preserve">Wave 2 onboarding (30 APIs)</x:t>
        </x:is>
      </x:c>
      <x:c r="G77" s="14" t="inlineStr">
        <x:is>
          <x:t xml:space="preserve">Onboard 30 APIs (mixed complexity). Ensure owners assigned and SLOs configured.</x:t>
        </x:is>
      </x:c>
      <x:c r="H77" s="14" t="inlineStr">
        <x:is>
          <x:t xml:space="preserve">30 more APIs live</x:t>
        </x:is>
      </x:c>
      <x:c r="I77" s="9" t="inlineStr">
        <x:is>
          <x:t xml:space="preserve">Data Engineer</x:t>
        </x:is>
      </x:c>
      <x:c r="J77" s="15" t="inlineStr">
        <x:is>
          <x:t xml:space="preserve">R</x:t>
        </x:is>
      </x:c>
      <x:c r="K77" s="15" t="inlineStr">
        <x:is>
          <x:t xml:space="preserve">P1</x:t>
        </x:is>
      </x:c>
      <x:c r="L77" s="15" t="inlineStr">
        <x:is>
          <x:t xml:space="preserve">Not Started</x:t>
        </x:is>
      </x:c>
      <x:c r="M77" s="16" t="n">
        <x:v>30</x:v>
      </x:c>
      <x:c r="N77" s="13" t="n">
        <x:v>15</x:v>
      </x:c>
      <x:c r="O77" s="13" t="n">
        <x:v>17</x:v>
      </x:c>
      <x:c r="P77" s="13">
        <x:f>O77+ROUNDUP(N77/Inputs!$B$4,0)-1</x:f>
      </x:c>
      <x:c r="Q77" s="17">
        <x:f>Inputs!$B$3+(O77-1)*Inputs!$B$4</x:f>
      </x:c>
      <x:c r="R77" s="17">
        <x:f>Q77+N77-1</x:f>
      </x:c>
      <x:c r="S77" s="9" t="inlineStr">
        <x:is>
          <x:t xml:space="preserve">IMP-50</x:t>
        </x:is>
      </x:c>
      <x:c r="T77" s="15" t="inlineStr">
        <x:is>
          <x:t xml:space="preserve">N</x:t>
        </x:is>
      </x:c>
      <x:c r="U77" s="14" t="inlineStr">
        <x:is>
          <x:t xml:space="preserve"/>
        </x:is>
      </x:c>
    </x:row>
    <x:row r="78" ht="42" customHeight="1">
      <x:c r="A78" s="9" t="inlineStr">
        <x:is>
          <x:t xml:space="preserve">IMP-49</x:t>
        </x:is>
      </x:c>
      <x:c r="B78" s="9" t="inlineStr">
        <x:is>
          <x:t xml:space="preserve">Implementation</x:t>
        </x:is>
      </x:c>
      <x:c r="C78" s="9" t="inlineStr">
        <x:is>
          <x:t xml:space="preserve">Scale-out</x:t>
        </x:is>
      </x:c>
      <x:c r="D78" s="13" t="n">
        <x:v>5</x:v>
      </x:c>
      <x:c r="E78" s="9" t="inlineStr">
        <x:is>
          <x:t xml:space="preserve">Operations</x:t>
        </x:is>
      </x:c>
      <x:c r="F78" s="9" t="inlineStr">
        <x:is>
          <x:t xml:space="preserve">Implement cost attribution dashboard (showback)</x:t>
        </x:is>
      </x:c>
      <x:c r="G78" s="14" t="inlineStr">
        <x:is>
          <x:t xml:space="preserve">Dashboard compute/storage per source/vendor; identify top spenders; feed to tuning.</x:t>
        </x:is>
      </x:c>
      <x:c r="H78" s="14" t="inlineStr">
        <x:is>
          <x:t xml:space="preserve">Cost dashboard</x:t>
        </x:is>
      </x:c>
      <x:c r="I78" s="9" t="inlineStr">
        <x:is>
          <x:t xml:space="preserve">DevOps/Platform Eng</x:t>
        </x:is>
      </x:c>
      <x:c r="J78" s="15" t="inlineStr">
        <x:is>
          <x:t xml:space="preserve">A</x:t>
        </x:is>
      </x:c>
      <x:c r="K78" s="15" t="inlineStr">
        <x:is>
          <x:t xml:space="preserve">P2</x:t>
        </x:is>
      </x:c>
      <x:c r="L78" s="15" t="inlineStr">
        <x:is>
          <x:t xml:space="preserve">Not Started</x:t>
        </x:is>
      </x:c>
      <x:c r="M78" s="16" t="n">
        <x:v>6</x:v>
      </x:c>
      <x:c r="N78" s="13" t="n">
        <x:v>7</x:v>
      </x:c>
      <x:c r="O78" s="13" t="n">
        <x:v>18</x:v>
      </x:c>
      <x:c r="P78" s="13">
        <x:f>O78+ROUNDUP(N78/Inputs!$B$4,0)-1</x:f>
      </x:c>
      <x:c r="Q78" s="17">
        <x:f>Inputs!$B$3+(O78-1)*Inputs!$B$4</x:f>
      </x:c>
      <x:c r="R78" s="17">
        <x:f>Q78+N78-1</x:f>
      </x:c>
      <x:c r="S78" s="9" t="inlineStr">
        <x:is>
          <x:t xml:space="preserve">DSN-20,IMP-23</x:t>
        </x:is>
      </x:c>
      <x:c r="T78" s="15" t="inlineStr">
        <x:is>
          <x:t xml:space="preserve">N</x:t>
        </x:is>
      </x:c>
      <x:c r="U78" s="14" t="inlineStr">
        <x:is>
          <x:t xml:space="preserve"/>
        </x:is>
      </x:c>
    </x:row>
    <x:row r="79" ht="42" customHeight="1">
      <x:c r="A79" s="9" t="inlineStr">
        <x:is>
          <x:t xml:space="preserve">IMP-51</x:t>
        </x:is>
      </x:c>
      <x:c r="B79" s="9" t="inlineStr">
        <x:is>
          <x:t xml:space="preserve">Implementation</x:t>
        </x:is>
      </x:c>
      <x:c r="C79" s="9" t="inlineStr">
        <x:is>
          <x:t xml:space="preserve">Scale-out</x:t>
        </x:is>
      </x:c>
      <x:c r="D79" s="13" t="n">
        <x:v>5</x:v>
      </x:c>
      <x:c r="E79" s="9" t="inlineStr">
        <x:is>
          <x:t xml:space="preserve">Quality</x:t>
        </x:is>
      </x:c>
      <x:c r="F79" s="9" t="inlineStr">
        <x:is>
          <x:t xml:space="preserve">Enhance anomaly detection on volume/freshness</x:t>
        </x:is>
      </x:c>
      <x:c r="G79" s="14" t="inlineStr">
        <x:is>
          <x:t xml:space="preserve">Add baseline anomaly detection (counts/lag) and alert on deviations; tune thresholds.</x:t>
        </x:is>
      </x:c>
      <x:c r="H79" s="14" t="inlineStr">
        <x:is>
          <x:t xml:space="preserve">Anomaly detection v1</x:t>
        </x:is>
      </x:c>
      <x:c r="I79" s="9" t="inlineStr">
        <x:is>
          <x:t xml:space="preserve">SRE/Operations</x:t>
        </x:is>
      </x:c>
      <x:c r="J79" s="15" t="inlineStr">
        <x:is>
          <x:t xml:space="preserve">A</x:t>
        </x:is>
      </x:c>
      <x:c r="K79" s="15" t="inlineStr">
        <x:is>
          <x:t xml:space="preserve">P2</x:t>
        </x:is>
      </x:c>
      <x:c r="L79" s="15" t="inlineStr">
        <x:is>
          <x:t xml:space="preserve">Not Started</x:t>
        </x:is>
      </x:c>
      <x:c r="M79" s="16" t="n">
        <x:v>6</x:v>
      </x:c>
      <x:c r="N79" s="13" t="n">
        <x:v>8</x:v>
      </x:c>
      <x:c r="O79" s="13" t="n">
        <x:v>19</x:v>
      </x:c>
      <x:c r="P79" s="13">
        <x:f>O79+ROUNDUP(N79/Inputs!$B$4,0)-1</x:f>
      </x:c>
      <x:c r="Q79" s="17">
        <x:f>Inputs!$B$3+(O79-1)*Inputs!$B$4</x:f>
      </x:c>
      <x:c r="R79" s="17">
        <x:f>Q79+N79-1</x:f>
      </x:c>
      <x:c r="S79" s="9" t="inlineStr">
        <x:is>
          <x:t xml:space="preserve">IMP-26</x:t>
        </x:is>
      </x:c>
      <x:c r="T79" s="15" t="inlineStr">
        <x:is>
          <x:t xml:space="preserve">N</x:t>
        </x:is>
      </x:c>
      <x:c r="U79" s="14" t="inlineStr">
        <x:is>
          <x:t xml:space="preserve"/>
        </x:is>
      </x:c>
    </x:row>
    <x:row r="80" ht="42" customHeight="1">
      <x:c r="A80" s="9" t="inlineStr">
        <x:is>
          <x:t xml:space="preserve">IMP-48</x:t>
        </x:is>
      </x:c>
      <x:c r="B80" s="9" t="inlineStr">
        <x:is>
          <x:t xml:space="preserve">Implementation</x:t>
        </x:is>
      </x:c>
      <x:c r="C80" s="9" t="inlineStr">
        <x:is>
          <x:t xml:space="preserve">Scale-out</x:t>
        </x:is>
      </x:c>
      <x:c r="D80" s="13" t="n">
        <x:v>5</x:v>
      </x:c>
      <x:c r="E80" s="9" t="inlineStr">
        <x:is>
          <x:t xml:space="preserve">Wave 3</x:t>
        </x:is>
      </x:c>
      <x:c r="F80" s="9" t="inlineStr">
        <x:is>
          <x:t xml:space="preserve">Wave 3 onboarding (40 APIs)</x:t>
        </x:is>
      </x:c>
      <x:c r="G80" s="14" t="inlineStr">
        <x:is>
          <x:t xml:space="preserve">Onboard 40 APIs; include higher complexity; expand vendor profiles; enforce gates.</x:t>
        </x:is>
      </x:c>
      <x:c r="H80" s="14" t="inlineStr">
        <x:is>
          <x:t xml:space="preserve">40 more APIs live</x:t>
        </x:is>
      </x:c>
      <x:c r="I80" s="9" t="inlineStr">
        <x:is>
          <x:t xml:space="preserve">Data Engineer</x:t>
        </x:is>
      </x:c>
      <x:c r="J80" s="15" t="inlineStr">
        <x:is>
          <x:t xml:space="preserve">R</x:t>
        </x:is>
      </x:c>
      <x:c r="K80" s="15" t="inlineStr">
        <x:is>
          <x:t xml:space="preserve">P2</x:t>
        </x:is>
      </x:c>
      <x:c r="L80" s="15" t="inlineStr">
        <x:is>
          <x:t xml:space="preserve">Not Started</x:t>
        </x:is>
      </x:c>
      <x:c r="M80" s="16" t="n">
        <x:v>40</x:v>
      </x:c>
      <x:c r="N80" s="13" t="n">
        <x:v>20</x:v>
      </x:c>
      <x:c r="O80" s="13" t="n">
        <x:v>20</x:v>
      </x:c>
      <x:c r="P80" s="13">
        <x:f>O80+ROUNDUP(N80/Inputs!$B$4,0)-1</x:f>
      </x:c>
      <x:c r="Q80" s="17">
        <x:f>Inputs!$B$3+(O80-1)*Inputs!$B$4</x:f>
      </x:c>
      <x:c r="R80" s="17">
        <x:f>Q80+N80-1</x:f>
      </x:c>
      <x:c r="S80" s="9" t="inlineStr">
        <x:is>
          <x:t xml:space="preserve">IMP-51</x:t>
        </x:is>
      </x:c>
      <x:c r="T80" s="15" t="inlineStr">
        <x:is>
          <x:t xml:space="preserve">N</x:t>
        </x:is>
      </x:c>
      <x:c r="U80" s="14" t="inlineStr">
        <x:is>
          <x:t xml:space="preserve"/>
        </x:is>
      </x:c>
    </x:row>
    <x:row r="81" ht="42" customHeight="1">
      <x:c r="A81" s="9" t="inlineStr">
        <x:is>
          <x:t xml:space="preserve">IMP-63</x:t>
        </x:is>
      </x:c>
      <x:c r="B81" s="9" t="inlineStr">
        <x:is>
          <x:t xml:space="preserve">Implementation</x:t>
        </x:is>
      </x:c>
      <x:c r="C81" s="9" t="inlineStr">
        <x:is>
          <x:t xml:space="preserve">Governance</x:t>
        </x:is>
      </x:c>
      <x:c r="D81" s="13" t="n">
        <x:v>5</x:v>
      </x:c>
      <x:c r="E81" s="9" t="inlineStr">
        <x:is>
          <x:t xml:space="preserve">Decommission</x:t>
        </x:is>
      </x:c>
      <x:c r="F81" s="9" t="inlineStr">
        <x:is>
          <x:t xml:space="preserve">Tag and track deprecated/unused sources</x:t>
        </x:is>
      </x:c>
      <x:c r="G81" s="14" t="inlineStr">
        <x:is>
          <x:t xml:space="preserve">Add registry fields and reports for unused sources; prepare for decommission wave.</x:t>
        </x:is>
      </x:c>
      <x:c r="H81" s="14" t="inlineStr">
        <x:is>
          <x:t xml:space="preserve">Deprecated sources report</x:t>
        </x:is>
      </x:c>
      <x:c r="I81" s="9" t="inlineStr">
        <x:is>
          <x:t xml:space="preserve">Data Engineer</x:t>
        </x:is>
      </x:c>
      <x:c r="J81" s="15" t="inlineStr">
        <x:is>
          <x:t xml:space="preserve">R</x:t>
        </x:is>
      </x:c>
      <x:c r="K81" s="15" t="inlineStr">
        <x:is>
          <x:t xml:space="preserve">P3</x:t>
        </x:is>
      </x:c>
      <x:c r="L81" s="15" t="inlineStr">
        <x:is>
          <x:t xml:space="preserve">Not Started</x:t>
        </x:is>
      </x:c>
      <x:c r="M81" s="16" t="n">
        <x:v>2</x:v>
      </x:c>
      <x:c r="N81" s="13" t="n">
        <x:v>3</x:v>
      </x:c>
      <x:c r="O81" s="13" t="n">
        <x:v>21</x:v>
      </x:c>
      <x:c r="P81" s="13">
        <x:f>O81+ROUNDUP(N81/Inputs!$B$4,0)-1</x:f>
      </x:c>
      <x:c r="Q81" s="17">
        <x:f>Inputs!$B$3+(O81-1)*Inputs!$B$4</x:f>
      </x:c>
      <x:c r="R81" s="17">
        <x:f>Q81+N81-1</x:f>
      </x:c>
      <x:c r="S81" s="9" t="inlineStr">
        <x:is>
          <x:t xml:space="preserve">IMP-03</x:t>
        </x:is>
      </x:c>
      <x:c r="T81" s="15" t="inlineStr">
        <x:is>
          <x:t xml:space="preserve">N</x:t>
        </x:is>
      </x:c>
      <x:c r="U81" s="14" t="inlineStr">
        <x:is>
          <x:t xml:space="preserve"/>
        </x:is>
      </x:c>
    </x:row>
    <x:row r="82" ht="42" customHeight="1">
      <x:c r="A82" s="9" t="inlineStr">
        <x:is>
          <x:t xml:space="preserve">IMP-52</x:t>
        </x:is>
      </x:c>
      <x:c r="B82" s="9" t="inlineStr">
        <x:is>
          <x:t xml:space="preserve">Implementation</x:t>
        </x:is>
      </x:c>
      <x:c r="C82" s="9" t="inlineStr">
        <x:is>
          <x:t xml:space="preserve">Scale-out</x:t>
        </x:is>
      </x:c>
      <x:c r="D82" s="13" t="n">
        <x:v>5</x:v>
      </x:c>
      <x:c r="E82" s="9" t="inlineStr">
        <x:is>
          <x:t xml:space="preserve">Governance</x:t>
        </x:is>
      </x:c>
      <x:c r="F82" s="9" t="inlineStr">
        <x:is>
          <x:t xml:space="preserve">Implement decommission workflow automation</x:t>
        </x:is>
      </x:c>
      <x:c r="G82" s="14" t="inlineStr">
        <x:is>
          <x:t xml:space="preserve">Automate disabling schedules, archiving configs, and updating registry status.</x:t>
        </x:is>
      </x:c>
      <x:c r="H82" s="14" t="inlineStr">
        <x:is>
          <x:t xml:space="preserve">Decommission automation</x:t>
        </x:is>
      </x:c>
      <x:c r="I82" s="9" t="inlineStr">
        <x:is>
          <x:t xml:space="preserve">DevOps/Platform Eng</x:t>
        </x:is>
      </x:c>
      <x:c r="J82" s="15" t="inlineStr">
        <x:is>
          <x:t xml:space="preserve">R</x:t>
        </x:is>
      </x:c>
      <x:c r="K82" s="15" t="inlineStr">
        <x:is>
          <x:t xml:space="preserve">P3</x:t>
        </x:is>
      </x:c>
      <x:c r="L82" s="15" t="inlineStr">
        <x:is>
          <x:t xml:space="preserve">Not Started</x:t>
        </x:is>
      </x:c>
      <x:c r="M82" s="16" t="n">
        <x:v>4</x:v>
      </x:c>
      <x:c r="N82" s="13" t="n">
        <x:v>5</x:v>
      </x:c>
      <x:c r="O82" s="13" t="n">
        <x:v>22</x:v>
      </x:c>
      <x:c r="P82" s="13">
        <x:f>O82+ROUNDUP(N82/Inputs!$B$4,0)-1</x:f>
      </x:c>
      <x:c r="Q82" s="17">
        <x:f>Inputs!$B$3+(O82-1)*Inputs!$B$4</x:f>
      </x:c>
      <x:c r="R82" s="17">
        <x:f>Q82+N82-1</x:f>
      </x:c>
      <x:c r="S82" s="9" t="inlineStr">
        <x:is>
          <x:t xml:space="preserve">PRC-12</x:t>
        </x:is>
      </x:c>
      <x:c r="T82" s="15" t="inlineStr">
        <x:is>
          <x:t xml:space="preserve">N</x:t>
        </x:is>
      </x:c>
      <x:c r="U82" s="14" t="inlineStr">
        <x:is>
          <x:t xml:space="preserve"/>
        </x:is>
      </x:c>
    </x:row>
    <x:row r="83" ht="42" customHeight="1">
      <x:c r="A83" s="18" t="inlineStr">
        <x:is>
          <x:t xml:space="preserve">IMP-43</x:t>
        </x:is>
      </x:c>
      <x:c r="B83" s="18" t="inlineStr">
        <x:is>
          <x:t xml:space="preserve">Implementation</x:t>
        </x:is>
      </x:c>
      <x:c r="C83" s="18" t="inlineStr">
        <x:is>
          <x:t xml:space="preserve">Operations</x:t>
        </x:is>
      </x:c>
      <x:c r="D83" s="19" t="n">
        <x:v>6</x:v>
      </x:c>
      <x:c r="E83" s="18" t="inlineStr">
        <x:is>
          <x:t xml:space="preserve">ORR</x:t>
        </x:is>
      </x:c>
      <x:c r="F83" s="18" t="inlineStr">
        <x:is>
          <x:t xml:space="preserve">Execute Operational Readiness Review (ORR)</x:t>
        </x:is>
      </x:c>
      <x:c r="G83" s="20" t="inlineStr">
        <x:is>
          <x:t xml:space="preserve">Run ORR checklist, ensure runbooks, SLOs, alerts, permissions, DR tested; obtain signoff.</x:t>
        </x:is>
      </x:c>
      <x:c r="H83" s="20" t="inlineStr">
        <x:is>
          <x:t xml:space="preserve">ORR signoff</x:t>
        </x:is>
      </x:c>
      <x:c r="I83" s="18" t="inlineStr">
        <x:is>
          <x:t xml:space="preserve">SRE/Operations</x:t>
        </x:is>
      </x:c>
      <x:c r="J83" s="21" t="inlineStr">
        <x:is>
          <x:t xml:space="preserve">A</x:t>
        </x:is>
      </x:c>
      <x:c r="K83" s="21" t="inlineStr">
        <x:is>
          <x:t xml:space="preserve">P0</x:t>
        </x:is>
      </x:c>
      <x:c r="L83" s="21" t="inlineStr">
        <x:is>
          <x:t xml:space="preserve">Not Started</x:t>
        </x:is>
      </x:c>
      <x:c r="M83" s="22" t="n">
        <x:v>5</x:v>
      </x:c>
      <x:c r="N83" s="19" t="n">
        <x:v>5</x:v>
      </x:c>
      <x:c r="O83" s="19" t="n">
        <x:v>13</x:v>
      </x:c>
      <x:c r="P83" s="19">
        <x:f>O83+ROUNDUP(N83/Inputs!$B$4,0)-1</x:f>
      </x:c>
      <x:c r="Q83" s="23">
        <x:f>Inputs!$B$3+(O83-1)*Inputs!$B$4</x:f>
      </x:c>
      <x:c r="R83" s="23">
        <x:f>Q83+N83-1</x:f>
      </x:c>
      <x:c r="S83" s="18" t="inlineStr">
        <x:is>
          <x:t xml:space="preserve">PRC-10,IMP-44,IMP-34</x:t>
        </x:is>
      </x:c>
      <x:c r="T83" s="21" t="inlineStr">
        <x:is>
          <x:t xml:space="preserve">Y</x:t>
        </x:is>
      </x:c>
      <x:c r="U83" s="20" t="inlineStr">
        <x:is>
          <x:t xml:space="preserve"/>
        </x:is>
      </x:c>
    </x:row>
    <x:row r="84" ht="42" customHeight="1">
      <x:c r="A84" s="9" t="inlineStr">
        <x:is>
          <x:t xml:space="preserve">IMP-44</x:t>
        </x:is>
      </x:c>
      <x:c r="B84" s="9" t="inlineStr">
        <x:is>
          <x:t xml:space="preserve">Implementation</x:t>
        </x:is>
      </x:c>
      <x:c r="C84" s="9" t="inlineStr">
        <x:is>
          <x:t xml:space="preserve">Operations</x:t>
        </x:is>
      </x:c>
      <x:c r="D84" s="13" t="n">
        <x:v>6</x:v>
      </x:c>
      <x:c r="E84" s="9" t="inlineStr">
        <x:is>
          <x:t xml:space="preserve">Game Days</x:t>
        </x:is>
      </x:c>
      <x:c r="F84" s="9" t="inlineStr">
        <x:is>
          <x:t xml:space="preserve">Conduct game days (token expiry, vendor outage, schema break)</x:t>
        </x:is>
      </x:c>
      <x:c r="G84" s="14" t="inlineStr">
        <x:is>
          <x:t xml:space="preserve">Simulate failures, validate alert routing, runbooks, and recovery procedures; capture actions.</x:t>
        </x:is>
      </x:c>
      <x:c r="H84" s="14" t="inlineStr">
        <x:is>
          <x:t xml:space="preserve">Game day evidence pack</x:t>
        </x:is>
      </x:c>
      <x:c r="I84" s="9" t="inlineStr">
        <x:is>
          <x:t xml:space="preserve">SRE/Operations</x:t>
        </x:is>
      </x:c>
      <x:c r="J84" s="15" t="inlineStr">
        <x:is>
          <x:t xml:space="preserve">A</x:t>
        </x:is>
      </x:c>
      <x:c r="K84" s="15" t="inlineStr">
        <x:is>
          <x:t xml:space="preserve">P1</x:t>
        </x:is>
      </x:c>
      <x:c r="L84" s="15" t="inlineStr">
        <x:is>
          <x:t xml:space="preserve">Not Started</x:t>
        </x:is>
      </x:c>
      <x:c r="M84" s="16" t="n">
        <x:v>5</x:v>
      </x:c>
      <x:c r="N84" s="13" t="n">
        <x:v>6</x:v>
      </x:c>
      <x:c r="O84" s="13" t="n">
        <x:v>13</x:v>
      </x:c>
      <x:c r="P84" s="13">
        <x:f>O84+ROUNDUP(N84/Inputs!$B$4,0)-1</x:f>
      </x:c>
      <x:c r="Q84" s="17">
        <x:f>Inputs!$B$3+(O84-1)*Inputs!$B$4</x:f>
      </x:c>
      <x:c r="R84" s="17">
        <x:f>Q84+N84-1</x:f>
      </x:c>
      <x:c r="S84" s="9" t="inlineStr">
        <x:is>
          <x:t xml:space="preserve">PRC-11,IMP-46</x:t>
        </x:is>
      </x:c>
      <x:c r="T84" s="15" t="inlineStr">
        <x:is>
          <x:t xml:space="preserve">N</x:t>
        </x:is>
      </x:c>
      <x:c r="U84" s="14" t="inlineStr">
        <x:is>
          <x:t xml:space="preserve"/>
        </x:is>
      </x:c>
    </x:row>
    <x:row r="85" ht="42" customHeight="1">
      <x:c r="A85" s="9" t="inlineStr">
        <x:is>
          <x:t xml:space="preserve">IMP-53</x:t>
        </x:is>
      </x:c>
      <x:c r="B85" s="9" t="inlineStr">
        <x:is>
          <x:t xml:space="preserve">Implementation</x:t>
        </x:is>
      </x:c>
      <x:c r="C85" s="9" t="inlineStr">
        <x:is>
          <x:t xml:space="preserve">Operations</x:t>
        </x:is>
      </x:c>
      <x:c r="D85" s="13" t="n">
        <x:v>6</x:v>
      </x:c>
      <x:c r="E85" s="9" t="inlineStr">
        <x:is>
          <x:t xml:space="preserve">Handover</x:t>
        </x:is>
      </x:c>
      <x:c r="F85" s="9" t="inlineStr">
        <x:is>
          <x:t xml:space="preserve">Ops training + handover to run team</x:t>
        </x:is>
      </x:c>
      <x:c r="G85" s="14" t="inlineStr">
        <x:is>
          <x:t xml:space="preserve">Training sessions for on-call, walk through dashboards/runbooks, define steady-state rituals.</x:t>
        </x:is>
      </x:c>
      <x:c r="H85" s="14" t="inlineStr">
        <x:is>
          <x:t xml:space="preserve">Handover complete</x:t>
        </x:is>
      </x:c>
      <x:c r="I85" s="9" t="inlineStr">
        <x:is>
          <x:t xml:space="preserve">SRE/Operations</x:t>
        </x:is>
      </x:c>
      <x:c r="J85" s="15" t="inlineStr">
        <x:is>
          <x:t xml:space="preserve">A</x:t>
        </x:is>
      </x:c>
      <x:c r="K85" s="15" t="inlineStr">
        <x:is>
          <x:t xml:space="preserve">P1</x:t>
        </x:is>
      </x:c>
      <x:c r="L85" s="15" t="inlineStr">
        <x:is>
          <x:t xml:space="preserve">Not Started</x:t>
        </x:is>
      </x:c>
      <x:c r="M85" s="16" t="n">
        <x:v>4</x:v>
      </x:c>
      <x:c r="N85" s="13" t="n">
        <x:v>4</x:v>
      </x:c>
      <x:c r="O85" s="13" t="n">
        <x:v>14</x:v>
      </x:c>
      <x:c r="P85" s="13">
        <x:f>O85+ROUNDUP(N85/Inputs!$B$4,0)-1</x:f>
      </x:c>
      <x:c r="Q85" s="17">
        <x:f>Inputs!$B$3+(O85-1)*Inputs!$B$4</x:f>
      </x:c>
      <x:c r="R85" s="17">
        <x:f>Q85+N85-1</x:f>
      </x:c>
      <x:c r="S85" s="9" t="inlineStr">
        <x:is>
          <x:t xml:space="preserve">IMP-46</x:t>
        </x:is>
      </x:c>
      <x:c r="T85" s="15" t="inlineStr">
        <x:is>
          <x:t xml:space="preserve">N</x:t>
        </x:is>
      </x:c>
      <x:c r="U85" s="14" t="inlineStr">
        <x:is>
          <x:t xml:space="preserve"/>
        </x:is>
      </x:c>
    </x:row>
    <x:row r="86" ht="42" customHeight="1">
      <x:c r="A86" s="9" t="inlineStr">
        <x:is>
          <x:t xml:space="preserve">IMP-54</x:t>
        </x:is>
      </x:c>
      <x:c r="B86" s="9" t="inlineStr">
        <x:is>
          <x:t xml:space="preserve">Implementation</x:t>
        </x:is>
      </x:c>
      <x:c r="C86" s="9" t="inlineStr">
        <x:is>
          <x:t xml:space="preserve">Operations</x:t>
        </x:is>
      </x:c>
      <x:c r="D86" s="13" t="n">
        <x:v>6</x:v>
      </x:c>
      <x:c r="E86" s="9" t="inlineStr">
        <x:is>
          <x:t xml:space="preserve">Documentation</x:t>
        </x:is>
      </x:c>
      <x:c r="F86" s="9" t="inlineStr">
        <x:is>
          <x:t xml:space="preserve">Finalize operations handbook and runbook set</x:t>
        </x:is>
      </x:c>
      <x:c r="G86" s="14" t="inlineStr">
        <x:is>
          <x:t xml:space="preserve">Incorporate lessons from pilot and game days; publish final versions; set review cadence.</x:t>
        </x:is>
      </x:c>
      <x:c r="H86" s="14" t="inlineStr">
        <x:is>
          <x:t xml:space="preserve">Ops docs v1.0</x:t>
        </x:is>
      </x:c>
      <x:c r="I86" s="9" t="inlineStr">
        <x:is>
          <x:t xml:space="preserve">SRE/Operations</x:t>
        </x:is>
      </x:c>
      <x:c r="J86" s="15" t="inlineStr">
        <x:is>
          <x:t xml:space="preserve">A</x:t>
        </x:is>
      </x:c>
      <x:c r="K86" s="15" t="inlineStr">
        <x:is>
          <x:t xml:space="preserve">P1</x:t>
        </x:is>
      </x:c>
      <x:c r="L86" s="15" t="inlineStr">
        <x:is>
          <x:t xml:space="preserve">Not Started</x:t>
        </x:is>
      </x:c>
      <x:c r="M86" s="16" t="n">
        <x:v>4</x:v>
      </x:c>
      <x:c r="N86" s="13" t="n">
        <x:v>5</x:v>
      </x:c>
      <x:c r="O86" s="13" t="n">
        <x:v>14</x:v>
      </x:c>
      <x:c r="P86" s="13">
        <x:f>O86+ROUNDUP(N86/Inputs!$B$4,0)-1</x:f>
      </x:c>
      <x:c r="Q86" s="17">
        <x:f>Inputs!$B$3+(O86-1)*Inputs!$B$4</x:f>
      </x:c>
      <x:c r="R86" s="17">
        <x:f>Q86+N86-1</x:f>
      </x:c>
      <x:c r="S86" s="9" t="inlineStr">
        <x:is>
          <x:t xml:space="preserve">IMP-34,IMP-47</x:t>
        </x:is>
      </x:c>
      <x:c r="T86" s="15" t="inlineStr">
        <x:is>
          <x:t xml:space="preserve">N</x:t>
        </x:is>
      </x:c>
      <x:c r="U86" s="14" t="inlineStr">
        <x:is>
          <x:t xml:space="preserve"/>
        </x:is>
      </x:c>
    </x:row>
    <x:row r="87" ht="42" customHeight="1">
      <x:c r="A87" s="9" t="inlineStr">
        <x:is>
          <x:t xml:space="preserve">PLY-01</x:t>
        </x:is>
      </x:c>
      <x:c r="B87" s="9" t="inlineStr">
        <x:is>
          <x:t xml:space="preserve">Policy</x:t>
        </x:is>
      </x:c>
      <x:c r="C87" s="9" t="inlineStr">
        <x:is>
          <x:t xml:space="preserve">Governance</x:t>
        </x:is>
      </x:c>
      <x:c r="D87" s="13" t="n">
        <x:v>0</x:v>
      </x:c>
      <x:c r="E87" s="9" t="inlineStr">
        <x:is>
          <x:t xml:space="preserve">Program Governance</x:t>
        </x:is>
      </x:c>
      <x:c r="F87" s="9" t="inlineStr">
        <x:is>
          <x:t xml:space="preserve">Define program success criteria &amp; scope</x:t>
        </x:is>
      </x:c>
      <x:c r="G87" s="14" t="inlineStr">
        <x:is>
          <x:t xml:space="preserve">Define what 'productionized' means (SLOs, security, audit, runbooks), confirm scope across 100s of APIs.</x:t>
        </x:is>
      </x:c>
      <x:c r="H87" s="14" t="inlineStr">
        <x:is>
          <x:t xml:space="preserve">Productionization definition + success metrics</x:t>
        </x:is>
      </x:c>
      <x:c r="I87" s="9" t="inlineStr">
        <x:is>
          <x:t xml:space="preserve">Product Owner</x:t>
        </x:is>
      </x:c>
      <x:c r="J87" s="15" t="inlineStr">
        <x:is>
          <x:t xml:space="preserve">A</x:t>
        </x:is>
      </x:c>
      <x:c r="K87" s="15" t="inlineStr">
        <x:is>
          <x:t xml:space="preserve">P1</x:t>
        </x:is>
      </x:c>
      <x:c r="L87" s="15" t="inlineStr">
        <x:is>
          <x:t xml:space="preserve">Not Started</x:t>
        </x:is>
      </x:c>
      <x:c r="M87" s="16" t="n">
        <x:v>3</x:v>
      </x:c>
      <x:c r="N87" s="13" t="n">
        <x:v>3</x:v>
      </x:c>
      <x:c r="O87" s="13" t="n">
        <x:v>1</x:v>
      </x:c>
      <x:c r="P87" s="13">
        <x:f>O87+ROUNDUP(N87/Inputs!$B$4,0)-1</x:f>
      </x:c>
      <x:c r="Q87" s="17">
        <x:f>Inputs!$B$3+(O87-1)*Inputs!$B$4</x:f>
      </x:c>
      <x:c r="R87" s="17">
        <x:f>Q87+N87-1</x:f>
      </x:c>
      <x:c r="S87" s="9" t="inlineStr">
        <x:is>
          <x:t xml:space="preserve"/>
        </x:is>
      </x:c>
      <x:c r="T87" s="15" t="inlineStr">
        <x:is>
          <x:t xml:space="preserve">N</x:t>
        </x:is>
      </x:c>
      <x:c r="U87" s="14" t="inlineStr">
        <x:is>
          <x:t xml:space="preserve"/>
        </x:is>
      </x:c>
    </x:row>
    <x:row r="88" ht="42" customHeight="1">
      <x:c r="A88" s="9" t="inlineStr">
        <x:is>
          <x:t xml:space="preserve">PLY-02</x:t>
        </x:is>
      </x:c>
      <x:c r="B88" s="9" t="inlineStr">
        <x:is>
          <x:t xml:space="preserve">Policy</x:t>
        </x:is>
      </x:c>
      <x:c r="C88" s="9" t="inlineStr">
        <x:is>
          <x:t xml:space="preserve">Operations</x:t>
        </x:is>
      </x:c>
      <x:c r="D88" s="13" t="n">
        <x:v>0</x:v>
      </x:c>
      <x:c r="E88" s="9" t="inlineStr">
        <x:is>
          <x:t xml:space="preserve">Incident Management</x:t>
        </x:is>
      </x:c>
      <x:c r="F88" s="9" t="inlineStr">
        <x:is>
          <x:t xml:space="preserve">Define defect prioritization &amp; incident severity (P0–P3)</x:t>
        </x:is>
      </x:c>
      <x:c r="G88" s="14" t="inlineStr">
        <x:is>
          <x:t xml:space="preserve">Create severity definitions, response targets, escalation triggers and mapping to alerts.</x:t>
        </x:is>
      </x:c>
      <x:c r="H88" s="14" t="inlineStr">
        <x:is>
          <x:t xml:space="preserve">P0–P3 severity policy + response SLAs</x:t>
        </x:is>
      </x:c>
      <x:c r="I88" s="9" t="inlineStr">
        <x:is>
          <x:t xml:space="preserve">SRE/Operations</x:t>
        </x:is>
      </x:c>
      <x:c r="J88" s="15" t="inlineStr">
        <x:is>
          <x:t xml:space="preserve">A</x:t>
        </x:is>
      </x:c>
      <x:c r="K88" s="15" t="inlineStr">
        <x:is>
          <x:t xml:space="preserve">P0</x:t>
        </x:is>
      </x:c>
      <x:c r="L88" s="15" t="inlineStr">
        <x:is>
          <x:t xml:space="preserve">Not Started</x:t>
        </x:is>
      </x:c>
      <x:c r="M88" s="16" t="n">
        <x:v>4</x:v>
      </x:c>
      <x:c r="N88" s="13" t="n">
        <x:v>4</x:v>
      </x:c>
      <x:c r="O88" s="13" t="n">
        <x:v>1</x:v>
      </x:c>
      <x:c r="P88" s="13">
        <x:f>O88+ROUNDUP(N88/Inputs!$B$4,0)-1</x:f>
      </x:c>
      <x:c r="Q88" s="17">
        <x:f>Inputs!$B$3+(O88-1)*Inputs!$B$4</x:f>
      </x:c>
      <x:c r="R88" s="17">
        <x:f>Q88+N88-1</x:f>
      </x:c>
      <x:c r="S88" s="9" t="inlineStr">
        <x:is>
          <x:t xml:space="preserve">PLY-01</x:t>
        </x:is>
      </x:c>
      <x:c r="T88" s="15" t="inlineStr">
        <x:is>
          <x:t xml:space="preserve">N</x:t>
        </x:is>
      </x:c>
      <x:c r="U88" s="14" t="inlineStr">
        <x:is>
          <x:t xml:space="preserve"/>
        </x:is>
      </x:c>
    </x:row>
    <x:row r="89" ht="42" customHeight="1">
      <x:c r="A89" s="9" t="inlineStr">
        <x:is>
          <x:t xml:space="preserve">PLY-03</x:t>
        </x:is>
      </x:c>
      <x:c r="B89" s="9" t="inlineStr">
        <x:is>
          <x:t xml:space="preserve">Policy</x:t>
        </x:is>
      </x:c>
      <x:c r="C89" s="9" t="inlineStr">
        <x:is>
          <x:t xml:space="preserve">Security</x:t>
        </x:is>
      </x:c>
      <x:c r="D89" s="13" t="n">
        <x:v>2</x:v>
      </x:c>
      <x:c r="E89" s="9" t="inlineStr">
        <x:is>
          <x:t xml:space="preserve">Secrets &amp; Identity</x:t>
        </x:is>
      </x:c>
      <x:c r="F89" s="9" t="inlineStr">
        <x:is>
          <x:t xml:space="preserve">Service account and credential policy</x:t>
        </x:is>
      </x:c>
      <x:c r="G89" s="14" t="inlineStr">
        <x:is>
          <x:t xml:space="preserve">Define rules: no personal tokens in prod, service principals, least privilege, ownership and audit.</x:t>
        </x:is>
      </x:c>
      <x:c r="H89" s="14" t="inlineStr">
        <x:is>
          <x:t xml:space="preserve">Service account policy (Databricks + vendor)</x:t>
        </x:is>
      </x:c>
      <x:c r="I89" s="9" t="inlineStr">
        <x:is>
          <x:t xml:space="preserve">Security/Identity Eng</x:t>
        </x:is>
      </x:c>
      <x:c r="J89" s="15" t="inlineStr">
        <x:is>
          <x:t xml:space="preserve">A</x:t>
        </x:is>
      </x:c>
      <x:c r="K89" s="15" t="inlineStr">
        <x:is>
          <x:t xml:space="preserve">P0</x:t>
        </x:is>
      </x:c>
      <x:c r="L89" s="15" t="inlineStr">
        <x:is>
          <x:t xml:space="preserve">Not Started</x:t>
        </x:is>
      </x:c>
      <x:c r="M89" s="16" t="n">
        <x:v>4</x:v>
      </x:c>
      <x:c r="N89" s="13" t="n">
        <x:v>4</x:v>
      </x:c>
      <x:c r="O89" s="13" t="n">
        <x:v>2</x:v>
      </x:c>
      <x:c r="P89" s="13">
        <x:f>O89+ROUNDUP(N89/Inputs!$B$4,0)-1</x:f>
      </x:c>
      <x:c r="Q89" s="17">
        <x:f>Inputs!$B$3+(O89-1)*Inputs!$B$4</x:f>
      </x:c>
      <x:c r="R89" s="17">
        <x:f>Q89+N89-1</x:f>
      </x:c>
      <x:c r="S89" s="9" t="inlineStr">
        <x:is>
          <x:t xml:space="preserve">PLY-01</x:t>
        </x:is>
      </x:c>
      <x:c r="T89" s="15" t="inlineStr">
        <x:is>
          <x:t xml:space="preserve">N</x:t>
        </x:is>
      </x:c>
      <x:c r="U89" s="14" t="inlineStr">
        <x:is>
          <x:t xml:space="preserve"/>
        </x:is>
      </x:c>
    </x:row>
    <x:row r="90" ht="42" customHeight="1">
      <x:c r="A90" s="9" t="inlineStr">
        <x:is>
          <x:t xml:space="preserve">PLY-04</x:t>
        </x:is>
      </x:c>
      <x:c r="B90" s="9" t="inlineStr">
        <x:is>
          <x:t xml:space="preserve">Policy</x:t>
        </x:is>
      </x:c>
      <x:c r="C90" s="9" t="inlineStr">
        <x:is>
          <x:t xml:space="preserve">Security</x:t>
        </x:is>
      </x:c>
      <x:c r="D90" s="13" t="n">
        <x:v>2</x:v>
      </x:c>
      <x:c r="E90" s="9" t="inlineStr">
        <x:is>
          <x:t xml:space="preserve">Secrets &amp; Identity</x:t>
        </x:is>
      </x:c>
      <x:c r="F90" s="9" t="inlineStr">
        <x:is>
          <x:t xml:space="preserve">Credential rotation policy</x:t>
        </x:is>
      </x:c>
      <x:c r="G90" s="14" t="inlineStr">
        <x:is>
          <x:t xml:space="preserve">Define rotation frequency, emergency rotation, break-glass access, audit requirements.</x:t>
        </x:is>
      </x:c>
      <x:c r="H90" s="14" t="inlineStr">
        <x:is>
          <x:t xml:space="preserve">Credential rotation policy</x:t>
        </x:is>
      </x:c>
      <x:c r="I90" s="9" t="inlineStr">
        <x:is>
          <x:t xml:space="preserve">Security/Identity Eng</x:t>
        </x:is>
      </x:c>
      <x:c r="J90" s="15" t="inlineStr">
        <x:is>
          <x:t xml:space="preserve">A</x:t>
        </x:is>
      </x:c>
      <x:c r="K90" s="15" t="inlineStr">
        <x:is>
          <x:t xml:space="preserve">P0</x:t>
        </x:is>
      </x:c>
      <x:c r="L90" s="15" t="inlineStr">
        <x:is>
          <x:t xml:space="preserve">Not Started</x:t>
        </x:is>
      </x:c>
      <x:c r="M90" s="16" t="n">
        <x:v>3</x:v>
      </x:c>
      <x:c r="N90" s="13" t="n">
        <x:v>3</x:v>
      </x:c>
      <x:c r="O90" s="13" t="n">
        <x:v>2</x:v>
      </x:c>
      <x:c r="P90" s="13">
        <x:f>O90+ROUNDUP(N90/Inputs!$B$4,0)-1</x:f>
      </x:c>
      <x:c r="Q90" s="17">
        <x:f>Inputs!$B$3+(O90-1)*Inputs!$B$4</x:f>
      </x:c>
      <x:c r="R90" s="17">
        <x:f>Q90+N90-1</x:f>
      </x:c>
      <x:c r="S90" s="9" t="inlineStr">
        <x:is>
          <x:t xml:space="preserve">PLY-03</x:t>
        </x:is>
      </x:c>
      <x:c r="T90" s="15" t="inlineStr">
        <x:is>
          <x:t xml:space="preserve">N</x:t>
        </x:is>
      </x:c>
      <x:c r="U90" s="14" t="inlineStr">
        <x:is>
          <x:t xml:space="preserve"/>
        </x:is>
      </x:c>
    </x:row>
    <x:row r="91" ht="42" customHeight="1">
      <x:c r="A91" s="9" t="inlineStr">
        <x:is>
          <x:t xml:space="preserve">PLY-05</x:t>
        </x:is>
      </x:c>
      <x:c r="B91" s="9" t="inlineStr">
        <x:is>
          <x:t xml:space="preserve">Policy</x:t>
        </x:is>
      </x:c>
      <x:c r="C91" s="9" t="inlineStr">
        <x:is>
          <x:t xml:space="preserve">Governance</x:t>
        </x:is>
      </x:c>
      <x:c r="D91" s="13" t="n">
        <x:v>2</x:v>
      </x:c>
      <x:c r="E91" s="9" t="inlineStr">
        <x:is>
          <x:t xml:space="preserve">Data Governance</x:t>
        </x:is>
      </x:c>
      <x:c r="F91" s="9" t="inlineStr">
        <x:is>
          <x:t xml:space="preserve">Data classification policy for ingested data</x:t>
        </x:is>
      </x:c>
      <x:c r="G91" s="14" t="inlineStr">
        <x:is>
          <x:t xml:space="preserve">Define classification levels and handling rules for Bronze payloads (PII/PHI), masking/encryption, access rules.</x:t>
        </x:is>
      </x:c>
      <x:c r="H91" s="14" t="inlineStr">
        <x:is>
          <x:t xml:space="preserve">Data classification policy</x:t>
        </x:is>
      </x:c>
      <x:c r="I91" s="9" t="inlineStr">
        <x:is>
          <x:t xml:space="preserve">Security/Identity Eng</x:t>
        </x:is>
      </x:c>
      <x:c r="J91" s="15" t="inlineStr">
        <x:is>
          <x:t xml:space="preserve">C</x:t>
        </x:is>
      </x:c>
      <x:c r="K91" s="15" t="inlineStr">
        <x:is>
          <x:t xml:space="preserve">P0</x:t>
        </x:is>
      </x:c>
      <x:c r="L91" s="15" t="inlineStr">
        <x:is>
          <x:t xml:space="preserve">Not Started</x:t>
        </x:is>
      </x:c>
      <x:c r="M91" s="16" t="n">
        <x:v>5</x:v>
      </x:c>
      <x:c r="N91" s="13" t="n">
        <x:v>5</x:v>
      </x:c>
      <x:c r="O91" s="13" t="n">
        <x:v>3</x:v>
      </x:c>
      <x:c r="P91" s="13">
        <x:f>O91+ROUNDUP(N91/Inputs!$B$4,0)-1</x:f>
      </x:c>
      <x:c r="Q91" s="17">
        <x:f>Inputs!$B$3+(O91-1)*Inputs!$B$4</x:f>
      </x:c>
      <x:c r="R91" s="17">
        <x:f>Q91+N91-1</x:f>
      </x:c>
      <x:c r="S91" s="9" t="inlineStr">
        <x:is>
          <x:t xml:space="preserve">PLY-01</x:t>
        </x:is>
      </x:c>
      <x:c r="T91" s="15" t="inlineStr">
        <x:is>
          <x:t xml:space="preserve">N</x:t>
        </x:is>
      </x:c>
      <x:c r="U91" s="14" t="inlineStr">
        <x:is>
          <x:t xml:space="preserve"/>
        </x:is>
      </x:c>
    </x:row>
    <x:row r="92" ht="42" customHeight="1">
      <x:c r="A92" s="9" t="inlineStr">
        <x:is>
          <x:t xml:space="preserve">PLY-06</x:t>
        </x:is>
      </x:c>
      <x:c r="B92" s="9" t="inlineStr">
        <x:is>
          <x:t xml:space="preserve">Policy</x:t>
        </x:is>
      </x:c>
      <x:c r="C92" s="9" t="inlineStr">
        <x:is>
          <x:t xml:space="preserve">Governance</x:t>
        </x:is>
      </x:c>
      <x:c r="D92" s="13" t="n">
        <x:v>2</x:v>
      </x:c>
      <x:c r="E92" s="9" t="inlineStr">
        <x:is>
          <x:t xml:space="preserve">Retention</x:t>
        </x:is>
      </x:c>
      <x:c r="F92" s="9" t="inlineStr">
        <x:is>
          <x:t xml:space="preserve">Retention &amp; purge policy (Bronze, logs, audit)</x:t>
        </x:is>
      </x:c>
      <x:c r="G92" s="14" t="inlineStr">
        <x:is>
          <x:t xml:space="preserve">Define retention periods for raw payloads, metrics, audit logs, DLQ, and purge mechanisms.</x:t>
        </x:is>
      </x:c>
      <x:c r="H92" s="14" t="inlineStr">
        <x:is>
          <x:t xml:space="preserve">Retention policy + purge requirements</x:t>
        </x:is>
      </x:c>
      <x:c r="I92" s="9" t="inlineStr">
        <x:is>
          <x:t xml:space="preserve">Data Platform Architect</x:t>
        </x:is>
      </x:c>
      <x:c r="J92" s="15" t="inlineStr">
        <x:is>
          <x:t xml:space="preserve">A</x:t>
        </x:is>
      </x:c>
      <x:c r="K92" s="15" t="inlineStr">
        <x:is>
          <x:t xml:space="preserve">P1</x:t>
        </x:is>
      </x:c>
      <x:c r="L92" s="15" t="inlineStr">
        <x:is>
          <x:t xml:space="preserve">Not Started</x:t>
        </x:is>
      </x:c>
      <x:c r="M92" s="16" t="n">
        <x:v>4</x:v>
      </x:c>
      <x:c r="N92" s="13" t="n">
        <x:v>4</x:v>
      </x:c>
      <x:c r="O92" s="13" t="n">
        <x:v>3</x:v>
      </x:c>
      <x:c r="P92" s="13">
        <x:f>O92+ROUNDUP(N92/Inputs!$B$4,0)-1</x:f>
      </x:c>
      <x:c r="Q92" s="17">
        <x:f>Inputs!$B$3+(O92-1)*Inputs!$B$4</x:f>
      </x:c>
      <x:c r="R92" s="17">
        <x:f>Q92+N92-1</x:f>
      </x:c>
      <x:c r="S92" s="9" t="inlineStr">
        <x:is>
          <x:t xml:space="preserve">PLY-05</x:t>
        </x:is>
      </x:c>
      <x:c r="T92" s="15" t="inlineStr">
        <x:is>
          <x:t xml:space="preserve">N</x:t>
        </x:is>
      </x:c>
      <x:c r="U92" s="14" t="inlineStr">
        <x:is>
          <x:t xml:space="preserve"/>
        </x:is>
      </x:c>
    </x:row>
    <x:row r="93" ht="42" customHeight="1">
      <x:c r="A93" s="9" t="inlineStr">
        <x:is>
          <x:t xml:space="preserve">PLY-07</x:t>
        </x:is>
      </x:c>
      <x:c r="B93" s="9" t="inlineStr">
        <x:is>
          <x:t xml:space="preserve">Policy</x:t>
        </x:is>
      </x:c>
      <x:c r="C93" s="9" t="inlineStr">
        <x:is>
          <x:t xml:space="preserve">DevSecOps</x:t>
        </x:is>
      </x:c>
      <x:c r="D93" s="13" t="n">
        <x:v>2</x:v>
      </x:c>
      <x:c r="E93" s="9" t="inlineStr">
        <x:is>
          <x:t xml:space="preserve">Change Management</x:t>
        </x:is>
      </x:c>
      <x:c r="F93" s="9" t="inlineStr">
        <x:is>
          <x:t xml:space="preserve">Release &amp; change management policy</x:t>
        </x:is>
      </x:c>
      <x:c r="G93" s="14" t="inlineStr">
        <x:is>
          <x:t xml:space="preserve">Define promotion gates, approvals, freeze windows, emergency hotfix rules, rollback expectations.</x:t>
        </x:is>
      </x:c>
      <x:c r="H93" s="14" t="inlineStr">
        <x:is>
          <x:t xml:space="preserve">Change/release policy</x:t>
        </x:is>
      </x:c>
      <x:c r="I93" s="9" t="inlineStr">
        <x:is>
          <x:t xml:space="preserve">Release Manager</x:t>
        </x:is>
      </x:c>
      <x:c r="J93" s="15" t="inlineStr">
        <x:is>
          <x:t xml:space="preserve">A</x:t>
        </x:is>
      </x:c>
      <x:c r="K93" s="15" t="inlineStr">
        <x:is>
          <x:t xml:space="preserve">P0</x:t>
        </x:is>
      </x:c>
      <x:c r="L93" s="15" t="inlineStr">
        <x:is>
          <x:t xml:space="preserve">Not Started</x:t>
        </x:is>
      </x:c>
      <x:c r="M93" s="16" t="n">
        <x:v>4</x:v>
      </x:c>
      <x:c r="N93" s="13" t="n">
        <x:v>4</x:v>
      </x:c>
      <x:c r="O93" s="13" t="n">
        <x:v>3</x:v>
      </x:c>
      <x:c r="P93" s="13">
        <x:f>O93+ROUNDUP(N93/Inputs!$B$4,0)-1</x:f>
      </x:c>
      <x:c r="Q93" s="17">
        <x:f>Inputs!$B$3+(O93-1)*Inputs!$B$4</x:f>
      </x:c>
      <x:c r="R93" s="17">
        <x:f>Q93+N93-1</x:f>
      </x:c>
      <x:c r="S93" s="9" t="inlineStr">
        <x:is>
          <x:t xml:space="preserve">PLY-01</x:t>
        </x:is>
      </x:c>
      <x:c r="T93" s="15" t="inlineStr">
        <x:is>
          <x:t xml:space="preserve">N</x:t>
        </x:is>
      </x:c>
      <x:c r="U93" s="14" t="inlineStr">
        <x:is>
          <x:t xml:space="preserve"/>
        </x:is>
      </x:c>
    </x:row>
    <x:row r="94" ht="42" customHeight="1">
      <x:c r="A94" s="9" t="inlineStr">
        <x:is>
          <x:t xml:space="preserve">PLY-08</x:t>
        </x:is>
      </x:c>
      <x:c r="B94" s="9" t="inlineStr">
        <x:is>
          <x:t xml:space="preserve">Policy</x:t>
        </x:is>
      </x:c>
      <x:c r="C94" s="9" t="inlineStr">
        <x:is>
          <x:t xml:space="preserve">DevSecOps</x:t>
        </x:is>
      </x:c>
      <x:c r="D94" s="13" t="n">
        <x:v>2</x:v>
      </x:c>
      <x:c r="E94" s="9" t="inlineStr">
        <x:is>
          <x:t xml:space="preserve">SDLC</x:t>
        </x:is>
      </x:c>
      <x:c r="F94" s="9" t="inlineStr">
        <x:is>
          <x:t xml:space="preserve">Branching and versioning policy</x:t>
        </x:is>
      </x:c>
      <x:c r="G94" s="14" t="inlineStr">
        <x:is>
          <x:t xml:space="preserve">Define branching strategy, artifact versioning, semantic version rules for connectors/runtime.</x:t>
        </x:is>
      </x:c>
      <x:c r="H94" s="14" t="inlineStr">
        <x:is>
          <x:t xml:space="preserve">SDLC versioning policy</x:t>
        </x:is>
      </x:c>
      <x:c r="I94" s="9" t="inlineStr">
        <x:is>
          <x:t xml:space="preserve">DevOps/Platform Eng</x:t>
        </x:is>
      </x:c>
      <x:c r="J94" s="15" t="inlineStr">
        <x:is>
          <x:t xml:space="preserve">A</x:t>
        </x:is>
      </x:c>
      <x:c r="K94" s="15" t="inlineStr">
        <x:is>
          <x:t xml:space="preserve">P1</x:t>
        </x:is>
      </x:c>
      <x:c r="L94" s="15" t="inlineStr">
        <x:is>
          <x:t xml:space="preserve">Not Started</x:t>
        </x:is>
      </x:c>
      <x:c r="M94" s="16" t="n">
        <x:v>3</x:v>
      </x:c>
      <x:c r="N94" s="13" t="n">
        <x:v>3</x:v>
      </x:c>
      <x:c r="O94" s="13" t="n">
        <x:v>3</x:v>
      </x:c>
      <x:c r="P94" s="13">
        <x:f>O94+ROUNDUP(N94/Inputs!$B$4,0)-1</x:f>
      </x:c>
      <x:c r="Q94" s="17">
        <x:f>Inputs!$B$3+(O94-1)*Inputs!$B$4</x:f>
      </x:c>
      <x:c r="R94" s="17">
        <x:f>Q94+N94-1</x:f>
      </x:c>
      <x:c r="S94" s="9" t="inlineStr">
        <x:is>
          <x:t xml:space="preserve">PLY-07</x:t>
        </x:is>
      </x:c>
      <x:c r="T94" s="15" t="inlineStr">
        <x:is>
          <x:t xml:space="preserve">N</x:t>
        </x:is>
      </x:c>
      <x:c r="U94" s="14" t="inlineStr">
        <x:is>
          <x:t xml:space="preserve"/>
        </x:is>
      </x:c>
    </x:row>
    <x:row r="95" ht="42" customHeight="1">
      <x:c r="A95" s="9" t="inlineStr">
        <x:is>
          <x:t xml:space="preserve">PLY-11</x:t>
        </x:is>
      </x:c>
      <x:c r="B95" s="9" t="inlineStr">
        <x:is>
          <x:t xml:space="preserve">Policy</x:t>
        </x:is>
      </x:c>
      <x:c r="C95" s="9" t="inlineStr">
        <x:is>
          <x:t xml:space="preserve">Governance</x:t>
        </x:is>
      </x:c>
      <x:c r="D95" s="13" t="n">
        <x:v>2</x:v>
      </x:c>
      <x:c r="E95" s="9" t="inlineStr">
        <x:is>
          <x:t xml:space="preserve">Access Control</x:t>
        </x:is>
      </x:c>
      <x:c r="F95" s="9" t="inlineStr">
        <x:is>
          <x:t xml:space="preserve">Access control policy (Unity Catalog)</x:t>
        </x:is>
      </x:c>
      <x:c r="G95" s="14" t="inlineStr">
        <x:is>
          <x:t xml:space="preserve">Define who can read/write Bronze, how domain teams access data, access review cadence.</x:t>
        </x:is>
      </x:c>
      <x:c r="H95" s="14" t="inlineStr">
        <x:is>
          <x:t xml:space="preserve">UC access control policy</x:t>
        </x:is>
      </x:c>
      <x:c r="I95" s="9" t="inlineStr">
        <x:is>
          <x:t xml:space="preserve">Security/Identity Eng</x:t>
        </x:is>
      </x:c>
      <x:c r="J95" s="15" t="inlineStr">
        <x:is>
          <x:t xml:space="preserve">A</x:t>
        </x:is>
      </x:c>
      <x:c r="K95" s="15" t="inlineStr">
        <x:is>
          <x:t xml:space="preserve">P0</x:t>
        </x:is>
      </x:c>
      <x:c r="L95" s="15" t="inlineStr">
        <x:is>
          <x:t xml:space="preserve">Not Started</x:t>
        </x:is>
      </x:c>
      <x:c r="M95" s="16" t="n">
        <x:v>4</x:v>
      </x:c>
      <x:c r="N95" s="13" t="n">
        <x:v>4</x:v>
      </x:c>
      <x:c r="O95" s="13" t="n">
        <x:v>4</x:v>
      </x:c>
      <x:c r="P95" s="13">
        <x:f>O95+ROUNDUP(N95/Inputs!$B$4,0)-1</x:f>
      </x:c>
      <x:c r="Q95" s="17">
        <x:f>Inputs!$B$3+(O95-1)*Inputs!$B$4</x:f>
      </x:c>
      <x:c r="R95" s="17">
        <x:f>Q95+N95-1</x:f>
      </x:c>
      <x:c r="S95" s="9" t="inlineStr">
        <x:is>
          <x:t xml:space="preserve">PLY-05</x:t>
        </x:is>
      </x:c>
      <x:c r="T95" s="15" t="inlineStr">
        <x:is>
          <x:t xml:space="preserve">N</x:t>
        </x:is>
      </x:c>
      <x:c r="U95" s="14" t="inlineStr">
        <x:is>
          <x:t xml:space="preserve"/>
        </x:is>
      </x:c>
    </x:row>
    <x:row r="96" ht="42" customHeight="1">
      <x:c r="A96" s="9" t="inlineStr">
        <x:is>
          <x:t xml:space="preserve">PLY-15</x:t>
        </x:is>
      </x:c>
      <x:c r="B96" s="9" t="inlineStr">
        <x:is>
          <x:t xml:space="preserve">Policy</x:t>
        </x:is>
      </x:c>
      <x:c r="C96" s="9" t="inlineStr">
        <x:is>
          <x:t xml:space="preserve">Security</x:t>
        </x:is>
      </x:c>
      <x:c r="D96" s="13" t="n">
        <x:v>2</x:v>
      </x:c>
      <x:c r="E96" s="9" t="inlineStr">
        <x:is>
          <x:t xml:space="preserve">Security Monitoring</x:t>
        </x:is>
      </x:c>
      <x:c r="F96" s="9" t="inlineStr">
        <x:is>
          <x:t xml:space="preserve">Security logging and audit evidence policy</x:t>
        </x:is>
      </x:c>
      <x:c r="G96" s="14" t="inlineStr">
        <x:is>
          <x:t xml:space="preserve">Define required audit events (deployments, secret references, permission changes) and evidence retention.</x:t>
        </x:is>
      </x:c>
      <x:c r="H96" s="14" t="inlineStr">
        <x:is>
          <x:t xml:space="preserve">Security audit logging policy</x:t>
        </x:is>
      </x:c>
      <x:c r="I96" s="9" t="inlineStr">
        <x:is>
          <x:t xml:space="preserve">Security/Identity Eng</x:t>
        </x:is>
      </x:c>
      <x:c r="J96" s="15" t="inlineStr">
        <x:is>
          <x:t xml:space="preserve">A</x:t>
        </x:is>
      </x:c>
      <x:c r="K96" s="15" t="inlineStr">
        <x:is>
          <x:t xml:space="preserve">P0</x:t>
        </x:is>
      </x:c>
      <x:c r="L96" s="15" t="inlineStr">
        <x:is>
          <x:t xml:space="preserve">Not Started</x:t>
        </x:is>
      </x:c>
      <x:c r="M96" s="16" t="n">
        <x:v>4</x:v>
      </x:c>
      <x:c r="N96" s="13" t="n">
        <x:v>4</x:v>
      </x:c>
      <x:c r="O96" s="13" t="n">
        <x:v>4</x:v>
      </x:c>
      <x:c r="P96" s="13">
        <x:f>O96+ROUNDUP(N96/Inputs!$B$4,0)-1</x:f>
      </x:c>
      <x:c r="Q96" s="17">
        <x:f>Inputs!$B$3+(O96-1)*Inputs!$B$4</x:f>
      </x:c>
      <x:c r="R96" s="17">
        <x:f>Q96+N96-1</x:f>
      </x:c>
      <x:c r="S96" s="9" t="inlineStr">
        <x:is>
          <x:t xml:space="preserve">PLY-03,PLY-07</x:t>
        </x:is>
      </x:c>
      <x:c r="T96" s="15" t="inlineStr">
        <x:is>
          <x:t xml:space="preserve">N</x:t>
        </x:is>
      </x:c>
      <x:c r="U96" s="14" t="inlineStr">
        <x:is>
          <x:t xml:space="preserve"/>
        </x:is>
      </x:c>
    </x:row>
    <x:row r="97" ht="42" customHeight="1">
      <x:c r="A97" s="9" t="inlineStr">
        <x:is>
          <x:t xml:space="preserve">PLY-10</x:t>
        </x:is>
      </x:c>
      <x:c r="B97" s="9" t="inlineStr">
        <x:is>
          <x:t xml:space="preserve">Policy</x:t>
        </x:is>
      </x:c>
      <x:c r="C97" s="9" t="inlineStr">
        <x:is>
          <x:t xml:space="preserve">Operations</x:t>
        </x:is>
      </x:c>
      <x:c r="D97" s="13" t="n">
        <x:v>3</x:v>
      </x:c>
      <x:c r="E97" s="9" t="inlineStr">
        <x:is>
          <x:t xml:space="preserve">SLO/SLA</x:t>
        </x:is>
      </x:c>
      <x:c r="F97" s="9" t="inlineStr">
        <x:is>
          <x:t xml:space="preserve">SLO policy (availability, freshness, latency)</x:t>
        </x:is>
      </x:c>
      <x:c r="G97" s="14" t="inlineStr">
        <x:is>
          <x:t xml:space="preserve">Define SLO targets per tier (Tier-0/1/2), measurement method, and breach handling.</x:t>
        </x:is>
      </x:c>
      <x:c r="H97" s="14" t="inlineStr">
        <x:is>
          <x:t xml:space="preserve">SLO policy + tier definitions</x:t>
        </x:is>
      </x:c>
      <x:c r="I97" s="9" t="inlineStr">
        <x:is>
          <x:t xml:space="preserve">Product Owner</x:t>
        </x:is>
      </x:c>
      <x:c r="J97" s="15" t="inlineStr">
        <x:is>
          <x:t xml:space="preserve">A</x:t>
        </x:is>
      </x:c>
      <x:c r="K97" s="15" t="inlineStr">
        <x:is>
          <x:t xml:space="preserve">P1</x:t>
        </x:is>
      </x:c>
      <x:c r="L97" s="15" t="inlineStr">
        <x:is>
          <x:t xml:space="preserve">Not Started</x:t>
        </x:is>
      </x:c>
      <x:c r="M97" s="16" t="n">
        <x:v>4</x:v>
      </x:c>
      <x:c r="N97" s="13" t="n">
        <x:v>4</x:v>
      </x:c>
      <x:c r="O97" s="13" t="n">
        <x:v>4</x:v>
      </x:c>
      <x:c r="P97" s="13">
        <x:f>O97+ROUNDUP(N97/Inputs!$B$4,0)-1</x:f>
      </x:c>
      <x:c r="Q97" s="17">
        <x:f>Inputs!$B$3+(O97-1)*Inputs!$B$4</x:f>
      </x:c>
      <x:c r="R97" s="17">
        <x:f>Q97+N97-1</x:f>
      </x:c>
      <x:c r="S97" s="9" t="inlineStr">
        <x:is>
          <x:t xml:space="preserve">PLY-01</x:t>
        </x:is>
      </x:c>
      <x:c r="T97" s="15" t="inlineStr">
        <x:is>
          <x:t xml:space="preserve">N</x:t>
        </x:is>
      </x:c>
      <x:c r="U97" s="14" t="inlineStr">
        <x:is>
          <x:t xml:space="preserve"/>
        </x:is>
      </x:c>
    </x:row>
    <x:row r="98" ht="42" customHeight="1">
      <x:c r="A98" s="9" t="inlineStr">
        <x:is>
          <x:t xml:space="preserve">PLY-09</x:t>
        </x:is>
      </x:c>
      <x:c r="B98" s="9" t="inlineStr">
        <x:is>
          <x:t xml:space="preserve">Policy</x:t>
        </x:is>
      </x:c>
      <x:c r="C98" s="9" t="inlineStr">
        <x:is>
          <x:t xml:space="preserve">Operations</x:t>
        </x:is>
      </x:c>
      <x:c r="D98" s="13" t="n">
        <x:v>3</x:v>
      </x:c>
      <x:c r="E98" s="9" t="inlineStr">
        <x:is>
          <x:t xml:space="preserve">Observability</x:t>
        </x:is>
      </x:c>
      <x:c r="F98" s="9" t="inlineStr">
        <x:is>
          <x:t xml:space="preserve">Alerting policy and routing standards</x:t>
        </x:is>
      </x:c>
      <x:c r="G98" s="14" t="inlineStr">
        <x:is>
          <x:t xml:space="preserve">Define paging vs ticket alerts, quiet hours, dedupe/suppression, escalation paths (platform vs domain owners).</x:t>
        </x:is>
      </x:c>
      <x:c r="H98" s="14" t="inlineStr">
        <x:is>
          <x:t xml:space="preserve">Alerting &amp; routing policy</x:t>
        </x:is>
      </x:c>
      <x:c r="I98" s="9" t="inlineStr">
        <x:is>
          <x:t xml:space="preserve">SRE/Operations</x:t>
        </x:is>
      </x:c>
      <x:c r="J98" s="15" t="inlineStr">
        <x:is>
          <x:t xml:space="preserve">A</x:t>
        </x:is>
      </x:c>
      <x:c r="K98" s="15" t="inlineStr">
        <x:is>
          <x:t xml:space="preserve">P0</x:t>
        </x:is>
      </x:c>
      <x:c r="L98" s="15" t="inlineStr">
        <x:is>
          <x:t xml:space="preserve">Not Started</x:t>
        </x:is>
      </x:c>
      <x:c r="M98" s="16" t="n">
        <x:v>4</x:v>
      </x:c>
      <x:c r="N98" s="13" t="n">
        <x:v>4</x:v>
      </x:c>
      <x:c r="O98" s="13" t="n">
        <x:v>5</x:v>
      </x:c>
      <x:c r="P98" s="13">
        <x:f>O98+ROUNDUP(N98/Inputs!$B$4,0)-1</x:f>
      </x:c>
      <x:c r="Q98" s="17">
        <x:f>Inputs!$B$3+(O98-1)*Inputs!$B$4</x:f>
      </x:c>
      <x:c r="R98" s="17">
        <x:f>Q98+N98-1</x:f>
      </x:c>
      <x:c r="S98" s="9" t="inlineStr">
        <x:is>
          <x:t xml:space="preserve">PLY-02</x:t>
        </x:is>
      </x:c>
      <x:c r="T98" s="15" t="inlineStr">
        <x:is>
          <x:t xml:space="preserve">N</x:t>
        </x:is>
      </x:c>
      <x:c r="U98" s="14" t="inlineStr">
        <x:is>
          <x:t xml:space="preserve"/>
        </x:is>
      </x:c>
    </x:row>
    <x:row r="99" ht="42" customHeight="1">
      <x:c r="A99" s="9" t="inlineStr">
        <x:is>
          <x:t xml:space="preserve">PLY-13</x:t>
        </x:is>
      </x:c>
      <x:c r="B99" s="9" t="inlineStr">
        <x:is>
          <x:t xml:space="preserve">Policy</x:t>
        </x:is>
      </x:c>
      <x:c r="C99" s="9" t="inlineStr">
        <x:is>
          <x:t xml:space="preserve">Governance</x:t>
        </x:is>
      </x:c>
      <x:c r="D99" s="13" t="n">
        <x:v>4</x:v>
      </x:c>
      <x:c r="E99" s="9" t="inlineStr">
        <x:is>
          <x:t xml:space="preserve">Source Onboarding</x:t>
        </x:is>
      </x:c>
      <x:c r="F99" s="9" t="inlineStr">
        <x:is>
          <x:t xml:space="preserve">Source onboarding acceptance criteria policy</x:t>
        </x:is>
      </x:c>
      <x:c r="G99" s="14" t="inlineStr">
        <x:is>
          <x:t xml:space="preserve">Define mandatory metadata: owner, SLA, classification, auth method, rate limits, sample payload, DQ rules.</x:t>
        </x:is>
      </x:c>
      <x:c r="H99" s="14" t="inlineStr">
        <x:is>
          <x:t xml:space="preserve">Onboarding gate policy</x:t>
        </x:is>
      </x:c>
      <x:c r="I99" s="9" t="inlineStr">
        <x:is>
          <x:t xml:space="preserve">Data Platform Architect</x:t>
        </x:is>
      </x:c>
      <x:c r="J99" s="15" t="inlineStr">
        <x:is>
          <x:t xml:space="preserve">A</x:t>
        </x:is>
      </x:c>
      <x:c r="K99" s="15" t="inlineStr">
        <x:is>
          <x:t xml:space="preserve">P1</x:t>
        </x:is>
      </x:c>
      <x:c r="L99" s="15" t="inlineStr">
        <x:is>
          <x:t xml:space="preserve">Not Started</x:t>
        </x:is>
      </x:c>
      <x:c r="M99" s="16" t="n">
        <x:v>3</x:v>
      </x:c>
      <x:c r="N99" s="13" t="n">
        <x:v>3</x:v>
      </x:c>
      <x:c r="O99" s="13" t="n">
        <x:v>7</x:v>
      </x:c>
      <x:c r="P99" s="13">
        <x:f>O99+ROUNDUP(N99/Inputs!$B$4,0)-1</x:f>
      </x:c>
      <x:c r="Q99" s="17">
        <x:f>Inputs!$B$3+(O99-1)*Inputs!$B$4</x:f>
      </x:c>
      <x:c r="R99" s="17">
        <x:f>Q99+N99-1</x:f>
      </x:c>
      <x:c r="S99" s="9" t="inlineStr">
        <x:is>
          <x:t xml:space="preserve">PLY-05,PLY-10</x:t>
        </x:is>
      </x:c>
      <x:c r="T99" s="15" t="inlineStr">
        <x:is>
          <x:t xml:space="preserve">N</x:t>
        </x:is>
      </x:c>
      <x:c r="U99" s="14" t="inlineStr">
        <x:is>
          <x:t xml:space="preserve"/>
        </x:is>
      </x:c>
    </x:row>
    <x:row r="100" ht="42" customHeight="1">
      <x:c r="A100" s="9" t="inlineStr">
        <x:is>
          <x:t xml:space="preserve">PLY-12</x:t>
        </x:is>
      </x:c>
      <x:c r="B100" s="9" t="inlineStr">
        <x:is>
          <x:t xml:space="preserve">Policy</x:t>
        </x:is>
      </x:c>
      <x:c r="C100" s="9" t="inlineStr">
        <x:is>
          <x:t xml:space="preserve">Governance</x:t>
        </x:is>
      </x:c>
      <x:c r="D100" s="13" t="n">
        <x:v>5</x:v>
      </x:c>
      <x:c r="E100" s="9" t="inlineStr">
        <x:is>
          <x:t xml:space="preserve">Vendor Management</x:t>
        </x:is>
      </x:c>
      <x:c r="F100" s="9" t="inlineStr">
        <x:is>
          <x:t xml:space="preserve">Vendor escalation policy</x:t>
        </x:is>
      </x:c>
      <x:c r="G100" s="14" t="inlineStr">
        <x:is>
          <x:t xml:space="preserve">Define when/how to escalate to API vendors; required evidence and communication templates.</x:t>
        </x:is>
      </x:c>
      <x:c r="H100" s="14" t="inlineStr">
        <x:is>
          <x:t xml:space="preserve">Vendor escalation policy + templates</x:t>
        </x:is>
      </x:c>
      <x:c r="I100" s="9" t="inlineStr">
        <x:is>
          <x:t xml:space="preserve">SRE/Operations</x:t>
        </x:is>
      </x:c>
      <x:c r="J100" s="15" t="inlineStr">
        <x:is>
          <x:t xml:space="preserve">A</x:t>
        </x:is>
      </x:c>
      <x:c r="K100" s="15" t="inlineStr">
        <x:is>
          <x:t xml:space="preserve">P2</x:t>
        </x:is>
      </x:c>
      <x:c r="L100" s="15" t="inlineStr">
        <x:is>
          <x:t xml:space="preserve">Not Started</x:t>
        </x:is>
      </x:c>
      <x:c r="M100" s="16" t="n">
        <x:v>2</x:v>
      </x:c>
      <x:c r="N100" s="13" t="n">
        <x:v>2</x:v>
      </x:c>
      <x:c r="O100" s="13" t="n">
        <x:v>10</x:v>
      </x:c>
      <x:c r="P100" s="13">
        <x:f>O100+ROUNDUP(N100/Inputs!$B$4,0)-1</x:f>
      </x:c>
      <x:c r="Q100" s="17">
        <x:f>Inputs!$B$3+(O100-1)*Inputs!$B$4</x:f>
      </x:c>
      <x:c r="R100" s="17">
        <x:f>Q100+N100-1</x:f>
      </x:c>
      <x:c r="S100" s="9" t="inlineStr">
        <x:is>
          <x:t xml:space="preserve">PLY-02</x:t>
        </x:is>
      </x:c>
      <x:c r="T100" s="15" t="inlineStr">
        <x:is>
          <x:t xml:space="preserve">N</x:t>
        </x:is>
      </x:c>
      <x:c r="U100" s="14" t="inlineStr">
        <x:is>
          <x:t xml:space="preserve"/>
        </x:is>
      </x:c>
    </x:row>
    <x:row r="101" ht="42" customHeight="1">
      <x:c r="A101" s="9" t="inlineStr">
        <x:is>
          <x:t xml:space="preserve">PLY-14</x:t>
        </x:is>
      </x:c>
      <x:c r="B101" s="9" t="inlineStr">
        <x:is>
          <x:t xml:space="preserve">Policy</x:t>
        </x:is>
      </x:c>
      <x:c r="C101" s="9" t="inlineStr">
        <x:is>
          <x:t xml:space="preserve">Governance</x:t>
        </x:is>
      </x:c>
      <x:c r="D101" s="13" t="n">
        <x:v>5</x:v>
      </x:c>
      <x:c r="E101" s="9" t="inlineStr">
        <x:is>
          <x:t xml:space="preserve">Decommission</x:t>
        </x:is>
      </x:c>
      <x:c r="F101" s="9" t="inlineStr">
        <x:is>
          <x:t xml:space="preserve">Source decommission policy</x:t>
        </x:is>
      </x:c>
      <x:c r="G101" s="14" t="inlineStr">
        <x:is>
          <x:t xml:space="preserve">Define how to retire sources, archive configs, retention handling, and stakeholder notifications.</x:t>
        </x:is>
      </x:c>
      <x:c r="H101" s="14" t="inlineStr">
        <x:is>
          <x:t xml:space="preserve">Decommission policy</x:t>
        </x:is>
      </x:c>
      <x:c r="I101" s="9" t="inlineStr">
        <x:is>
          <x:t xml:space="preserve">Product Owner</x:t>
        </x:is>
      </x:c>
      <x:c r="J101" s="15" t="inlineStr">
        <x:is>
          <x:t xml:space="preserve">A</x:t>
        </x:is>
      </x:c>
      <x:c r="K101" s="15" t="inlineStr">
        <x:is>
          <x:t xml:space="preserve">P3</x:t>
        </x:is>
      </x:c>
      <x:c r="L101" s="15" t="inlineStr">
        <x:is>
          <x:t xml:space="preserve">Not Started</x:t>
        </x:is>
      </x:c>
      <x:c r="M101" s="16" t="n">
        <x:v>2</x:v>
      </x:c>
      <x:c r="N101" s="13" t="n">
        <x:v>2</x:v>
      </x:c>
      <x:c r="O101" s="13" t="n">
        <x:v>14</x:v>
      </x:c>
      <x:c r="P101" s="13">
        <x:f>O101+ROUNDUP(N101/Inputs!$B$4,0)-1</x:f>
      </x:c>
      <x:c r="Q101" s="17">
        <x:f>Inputs!$B$3+(O101-1)*Inputs!$B$4</x:f>
      </x:c>
      <x:c r="R101" s="17">
        <x:f>Q101+N101-1</x:f>
      </x:c>
      <x:c r="S101" s="9" t="inlineStr">
        <x:is>
          <x:t xml:space="preserve">PLY-14</x:t>
        </x:is>
      </x:c>
      <x:c r="T101" s="15" t="inlineStr">
        <x:is>
          <x:t xml:space="preserve">N</x:t>
        </x:is>
      </x:c>
      <x:c r="U101" s="14" t="inlineStr">
        <x:is>
          <x:t xml:space="preserve"/>
        </x:is>
      </x:c>
    </x:row>
    <x:row r="102" ht="42" customHeight="1">
      <x:c r="A102" s="9" t="inlineStr">
        <x:is>
          <x:t xml:space="preserve">SOP-09</x:t>
        </x:is>
      </x:c>
      <x:c r="B102" s="9" t="inlineStr">
        <x:is>
          <x:t xml:space="preserve">Procedure</x:t>
        </x:is>
      </x:c>
      <x:c r="C102" s="9" t="inlineStr">
        <x:is>
          <x:t xml:space="preserve">Security</x:t>
        </x:is>
      </x:c>
      <x:c r="D102" s="13" t="n">
        <x:v>2</x:v>
      </x:c>
      <x:c r="E102" s="9" t="inlineStr">
        <x:is>
          <x:t xml:space="preserve">SOP</x:t>
        </x:is>
      </x:c>
      <x:c r="F102" s="9" t="inlineStr">
        <x:is>
          <x:t xml:space="preserve">SOP: Create and configure service principal for jobs</x:t>
        </x:is>
      </x:c>
      <x:c r="G102" s="14" t="inlineStr">
        <x:is>
          <x:t xml:space="preserve">Procedure to create SPN, assign UC permissions, attach to jobs, validate least privilege.</x:t>
        </x:is>
      </x:c>
      <x:c r="H102" s="14" t="inlineStr">
        <x:is>
          <x:t xml:space="preserve">Service principal SOP</x:t>
        </x:is>
      </x:c>
      <x:c r="I102" s="9" t="inlineStr">
        <x:is>
          <x:t xml:space="preserve">Security/Identity Eng</x:t>
        </x:is>
      </x:c>
      <x:c r="J102" s="15" t="inlineStr">
        <x:is>
          <x:t xml:space="preserve">R</x:t>
        </x:is>
      </x:c>
      <x:c r="K102" s="15" t="inlineStr">
        <x:is>
          <x:t xml:space="preserve">P0</x:t>
        </x:is>
      </x:c>
      <x:c r="L102" s="15" t="inlineStr">
        <x:is>
          <x:t xml:space="preserve">Not Started</x:t>
        </x:is>
      </x:c>
      <x:c r="M102" s="16" t="n">
        <x:v>3</x:v>
      </x:c>
      <x:c r="N102" s="13" t="n">
        <x:v>3</x:v>
      </x:c>
      <x:c r="O102" s="13" t="n">
        <x:v>6</x:v>
      </x:c>
      <x:c r="P102" s="13">
        <x:f>O102+ROUNDUP(N102/Inputs!$B$4,0)-1</x:f>
      </x:c>
      <x:c r="Q102" s="17">
        <x:f>Inputs!$B$3+(O102-1)*Inputs!$B$4</x:f>
      </x:c>
      <x:c r="R102" s="17">
        <x:f>Q102+N102-1</x:f>
      </x:c>
      <x:c r="S102" s="9" t="inlineStr">
        <x:is>
          <x:t xml:space="preserve">PLY-03</x:t>
        </x:is>
      </x:c>
      <x:c r="T102" s="15" t="inlineStr">
        <x:is>
          <x:t xml:space="preserve">N</x:t>
        </x:is>
      </x:c>
      <x:c r="U102" s="14" t="inlineStr">
        <x:is>
          <x:t xml:space="preserve"/>
        </x:is>
      </x:c>
    </x:row>
    <x:row r="103" ht="42" customHeight="1">
      <x:c r="A103" s="9" t="inlineStr">
        <x:is>
          <x:t xml:space="preserve">SOP-10</x:t>
        </x:is>
      </x:c>
      <x:c r="B103" s="9" t="inlineStr">
        <x:is>
          <x:t xml:space="preserve">Procedure</x:t>
        </x:is>
      </x:c>
      <x:c r="C103" s="9" t="inlineStr">
        <x:is>
          <x:t xml:space="preserve">Security</x:t>
        </x:is>
      </x:c>
      <x:c r="D103" s="13" t="n">
        <x:v>2</x:v>
      </x:c>
      <x:c r="E103" s="9" t="inlineStr">
        <x:is>
          <x:t xml:space="preserve">SOP</x:t>
        </x:is>
      </x:c>
      <x:c r="F103" s="9" t="inlineStr">
        <x:is>
          <x:t xml:space="preserve">SOP: Credential rotation execution</x:t>
        </x:is>
      </x:c>
      <x:c r="G103" s="14" t="inlineStr">
        <x:is>
          <x:t xml:space="preserve">Step-by-step rotation execution including smoke tests, rollback, and evidence capture.</x:t>
        </x:is>
      </x:c>
      <x:c r="H103" s="14" t="inlineStr">
        <x:is>
          <x:t xml:space="preserve">Rotation SOP</x:t>
        </x:is>
      </x:c>
      <x:c r="I103" s="9" t="inlineStr">
        <x:is>
          <x:t xml:space="preserve">Security/Identity Eng</x:t>
        </x:is>
      </x:c>
      <x:c r="J103" s="15" t="inlineStr">
        <x:is>
          <x:t xml:space="preserve">R</x:t>
        </x:is>
      </x:c>
      <x:c r="K103" s="15" t="inlineStr">
        <x:is>
          <x:t xml:space="preserve">P0</x:t>
        </x:is>
      </x:c>
      <x:c r="L103" s="15" t="inlineStr">
        <x:is>
          <x:t xml:space="preserve">Not Started</x:t>
        </x:is>
      </x:c>
      <x:c r="M103" s="16" t="n">
        <x:v>3</x:v>
      </x:c>
      <x:c r="N103" s="13" t="n">
        <x:v>3</x:v>
      </x:c>
      <x:c r="O103" s="13" t="n">
        <x:v>7</x:v>
      </x:c>
      <x:c r="P103" s="13">
        <x:f>O103+ROUNDUP(N103/Inputs!$B$4,0)-1</x:f>
      </x:c>
      <x:c r="Q103" s="17">
        <x:f>Inputs!$B$3+(O103-1)*Inputs!$B$4</x:f>
      </x:c>
      <x:c r="R103" s="17">
        <x:f>Q103+N103-1</x:f>
      </x:c>
      <x:c r="S103" s="9" t="inlineStr">
        <x:is>
          <x:t xml:space="preserve">PRC-04</x:t>
        </x:is>
      </x:c>
      <x:c r="T103" s="15" t="inlineStr">
        <x:is>
          <x:t xml:space="preserve">N</x:t>
        </x:is>
      </x:c>
      <x:c r="U103" s="14" t="inlineStr">
        <x:is>
          <x:t xml:space="preserve"/>
        </x:is>
      </x:c>
    </x:row>
    <x:row r="104" ht="42" customHeight="1">
      <x:c r="A104" s="9" t="inlineStr">
        <x:is>
          <x:t xml:space="preserve">SOP-11</x:t>
        </x:is>
      </x:c>
      <x:c r="B104" s="9" t="inlineStr">
        <x:is>
          <x:t xml:space="preserve">Procedure</x:t>
        </x:is>
      </x:c>
      <x:c r="C104" s="9" t="inlineStr">
        <x:is>
          <x:t xml:space="preserve">DevSecOps</x:t>
        </x:is>
      </x:c>
      <x:c r="D104" s="13" t="n">
        <x:v>2</x:v>
      </x:c>
      <x:c r="E104" s="9" t="inlineStr">
        <x:is>
          <x:t xml:space="preserve">SOP</x:t>
        </x:is>
      </x:c>
      <x:c r="F104" s="9" t="inlineStr">
        <x:is>
          <x:t xml:space="preserve">SOP: Production deployment (standard release)</x:t>
        </x:is>
      </x:c>
      <x:c r="G104" s="14" t="inlineStr">
        <x:is>
          <x:t xml:space="preserve">Steps for release manager and approvers to promote artifacts, verify and rollback.</x:t>
        </x:is>
      </x:c>
      <x:c r="H104" s="14" t="inlineStr">
        <x:is>
          <x:t xml:space="preserve">Deployment SOP</x:t>
        </x:is>
      </x:c>
      <x:c r="I104" s="9" t="inlineStr">
        <x:is>
          <x:t xml:space="preserve">Release Manager</x:t>
        </x:is>
      </x:c>
      <x:c r="J104" s="15" t="inlineStr">
        <x:is>
          <x:t xml:space="preserve">R</x:t>
        </x:is>
      </x:c>
      <x:c r="K104" s="15" t="inlineStr">
        <x:is>
          <x:t xml:space="preserve">P0</x:t>
        </x:is>
      </x:c>
      <x:c r="L104" s="15" t="inlineStr">
        <x:is>
          <x:t xml:space="preserve">Not Started</x:t>
        </x:is>
      </x:c>
      <x:c r="M104" s="16" t="n">
        <x:v>3</x:v>
      </x:c>
      <x:c r="N104" s="13" t="n">
        <x:v>3</x:v>
      </x:c>
      <x:c r="O104" s="13" t="n">
        <x:v>8</x:v>
      </x:c>
      <x:c r="P104" s="13">
        <x:f>O104+ROUNDUP(N104/Inputs!$B$4,0)-1</x:f>
      </x:c>
      <x:c r="Q104" s="17">
        <x:f>Inputs!$B$3+(O104-1)*Inputs!$B$4</x:f>
      </x:c>
      <x:c r="R104" s="17">
        <x:f>Q104+N104-1</x:f>
      </x:c>
      <x:c r="S104" s="9" t="inlineStr">
        <x:is>
          <x:t xml:space="preserve">PRC-05</x:t>
        </x:is>
      </x:c>
      <x:c r="T104" s="15" t="inlineStr">
        <x:is>
          <x:t xml:space="preserve">N</x:t>
        </x:is>
      </x:c>
      <x:c r="U104" s="14" t="inlineStr">
        <x:is>
          <x:t xml:space="preserve"/>
        </x:is>
      </x:c>
    </x:row>
    <x:row r="105" ht="42" customHeight="1">
      <x:c r="A105" s="9" t="inlineStr">
        <x:is>
          <x:t xml:space="preserve">SOP-12</x:t>
        </x:is>
      </x:c>
      <x:c r="B105" s="9" t="inlineStr">
        <x:is>
          <x:t xml:space="preserve">Procedure</x:t>
        </x:is>
      </x:c>
      <x:c r="C105" s="9" t="inlineStr">
        <x:is>
          <x:t xml:space="preserve">DevSecOps</x:t>
        </x:is>
      </x:c>
      <x:c r="D105" s="13" t="n">
        <x:v>2</x:v>
      </x:c>
      <x:c r="E105" s="9" t="inlineStr">
        <x:is>
          <x:t xml:space="preserve">SOP</x:t>
        </x:is>
      </x:c>
      <x:c r="F105" s="9" t="inlineStr">
        <x:is>
          <x:t xml:space="preserve">SOP: Emergency hotfix</x:t>
        </x:is>
      </x:c>
      <x:c r="G105" s="14" t="inlineStr">
        <x:is>
          <x:t xml:space="preserve">Steps for urgent changes with expedited approvals and post-facto review requirements.</x:t>
        </x:is>
      </x:c>
      <x:c r="H105" s="14" t="inlineStr">
        <x:is>
          <x:t xml:space="preserve">Hotfix SOP</x:t>
        </x:is>
      </x:c>
      <x:c r="I105" s="9" t="inlineStr">
        <x:is>
          <x:t xml:space="preserve">Release Manager</x:t>
        </x:is>
      </x:c>
      <x:c r="J105" s="15" t="inlineStr">
        <x:is>
          <x:t xml:space="preserve">R</x:t>
        </x:is>
      </x:c>
      <x:c r="K105" s="15" t="inlineStr">
        <x:is>
          <x:t xml:space="preserve">P0</x:t>
        </x:is>
      </x:c>
      <x:c r="L105" s="15" t="inlineStr">
        <x:is>
          <x:t xml:space="preserve">Not Started</x:t>
        </x:is>
      </x:c>
      <x:c r="M105" s="16" t="n">
        <x:v>2</x:v>
      </x:c>
      <x:c r="N105" s="13" t="n">
        <x:v>2</x:v>
      </x:c>
      <x:c r="O105" s="13" t="n">
        <x:v>9</x:v>
      </x:c>
      <x:c r="P105" s="13">
        <x:f>O105+ROUNDUP(N105/Inputs!$B$4,0)-1</x:f>
      </x:c>
      <x:c r="Q105" s="17">
        <x:f>Inputs!$B$3+(O105-1)*Inputs!$B$4</x:f>
      </x:c>
      <x:c r="R105" s="17">
        <x:f>Q105+N105-1</x:f>
      </x:c>
      <x:c r="S105" s="9" t="inlineStr">
        <x:is>
          <x:t xml:space="preserve">PLY-07</x:t>
        </x:is>
      </x:c>
      <x:c r="T105" s="15" t="inlineStr">
        <x:is>
          <x:t xml:space="preserve">N</x:t>
        </x:is>
      </x:c>
      <x:c r="U105" s="14" t="inlineStr">
        <x:is>
          <x:t xml:space="preserve"/>
        </x:is>
      </x:c>
    </x:row>
    <x:row r="106" ht="42" customHeight="1">
      <x:c r="A106" s="9" t="inlineStr">
        <x:is>
          <x:t xml:space="preserve">SOP-13</x:t>
        </x:is>
      </x:c>
      <x:c r="B106" s="9" t="inlineStr">
        <x:is>
          <x:t xml:space="preserve">Procedure</x:t>
        </x:is>
      </x:c>
      <x:c r="C106" s="9" t="inlineStr">
        <x:is>
          <x:t xml:space="preserve">Governance</x:t>
        </x:is>
      </x:c>
      <x:c r="D106" s="13" t="n">
        <x:v>2</x:v>
      </x:c>
      <x:c r="E106" s="9" t="inlineStr">
        <x:is>
          <x:t xml:space="preserve">SOP</x:t>
        </x:is>
      </x:c>
      <x:c r="F106" s="9" t="inlineStr">
        <x:is>
          <x:t xml:space="preserve">SOP: Quarterly access review execution</x:t>
        </x:is>
      </x:c>
      <x:c r="G106" s="14" t="inlineStr">
        <x:is>
          <x:t xml:space="preserve">How to export permissions, review against policy, collect signoffs, remediate and record evidence.</x:t>
        </x:is>
      </x:c>
      <x:c r="H106" s="14" t="inlineStr">
        <x:is>
          <x:t xml:space="preserve">Access review SOP</x:t>
        </x:is>
      </x:c>
      <x:c r="I106" s="9" t="inlineStr">
        <x:is>
          <x:t xml:space="preserve">Security/Identity Eng</x:t>
        </x:is>
      </x:c>
      <x:c r="J106" s="15" t="inlineStr">
        <x:is>
          <x:t xml:space="preserve">R</x:t>
        </x:is>
      </x:c>
      <x:c r="K106" s="15" t="inlineStr">
        <x:is>
          <x:t xml:space="preserve">P1</x:t>
        </x:is>
      </x:c>
      <x:c r="L106" s="15" t="inlineStr">
        <x:is>
          <x:t xml:space="preserve">Not Started</x:t>
        </x:is>
      </x:c>
      <x:c r="M106" s="16" t="n">
        <x:v>2</x:v>
      </x:c>
      <x:c r="N106" s="13" t="n">
        <x:v>2</x:v>
      </x:c>
      <x:c r="O106" s="13" t="n">
        <x:v>11</x:v>
      </x:c>
      <x:c r="P106" s="13">
        <x:f>O106+ROUNDUP(N106/Inputs!$B$4,0)-1</x:f>
      </x:c>
      <x:c r="Q106" s="17">
        <x:f>Inputs!$B$3+(O106-1)*Inputs!$B$4</x:f>
      </x:c>
      <x:c r="R106" s="17">
        <x:f>Q106+N106-1</x:f>
      </x:c>
      <x:c r="S106" s="9" t="inlineStr">
        <x:is>
          <x:t xml:space="preserve">PRC-07</x:t>
        </x:is>
      </x:c>
      <x:c r="T106" s="15" t="inlineStr">
        <x:is>
          <x:t xml:space="preserve">N</x:t>
        </x:is>
      </x:c>
      <x:c r="U106" s="14" t="inlineStr">
        <x:is>
          <x:t xml:space="preserve"/>
        </x:is>
      </x:c>
    </x:row>
    <x:row r="107" ht="42" customHeight="1">
      <x:c r="A107" s="9" t="inlineStr">
        <x:is>
          <x:t xml:space="preserve">SOP-01</x:t>
        </x:is>
      </x:c>
      <x:c r="B107" s="9" t="inlineStr">
        <x:is>
          <x:t xml:space="preserve">Procedure</x:t>
        </x:is>
      </x:c>
      <x:c r="C107" s="9" t="inlineStr">
        <x:is>
          <x:t xml:space="preserve">Operations</x:t>
        </x:is>
      </x:c>
      <x:c r="D107" s="13" t="n">
        <x:v>3</x:v>
      </x:c>
      <x:c r="E107" s="9" t="inlineStr">
        <x:is>
          <x:t xml:space="preserve">Runbooks</x:t>
        </x:is>
      </x:c>
      <x:c r="F107" s="9" t="inlineStr">
        <x:is>
          <x:t xml:space="preserve">Runbook template + standard structure</x:t>
        </x:is>
      </x:c>
      <x:c r="G107" s="14" t="inlineStr">
        <x:is>
          <x:t xml:space="preserve">Create runbook template including symptoms, diagnostics, actions, rollback, escalation, and evidence capture.</x:t>
        </x:is>
      </x:c>
      <x:c r="H107" s="14" t="inlineStr">
        <x:is>
          <x:t xml:space="preserve">Runbook template</x:t>
        </x:is>
      </x:c>
      <x:c r="I107" s="9" t="inlineStr">
        <x:is>
          <x:t xml:space="preserve">SRE/Operations</x:t>
        </x:is>
      </x:c>
      <x:c r="J107" s="15" t="inlineStr">
        <x:is>
          <x:t xml:space="preserve">A</x:t>
        </x:is>
      </x:c>
      <x:c r="K107" s="15" t="inlineStr">
        <x:is>
          <x:t xml:space="preserve">P1</x:t>
        </x:is>
      </x:c>
      <x:c r="L107" s="15" t="inlineStr">
        <x:is>
          <x:t xml:space="preserve">Not Started</x:t>
        </x:is>
      </x:c>
      <x:c r="M107" s="16" t="n">
        <x:v>2</x:v>
      </x:c>
      <x:c r="N107" s="13" t="n">
        <x:v>2</x:v>
      </x:c>
      <x:c r="O107" s="13" t="n">
        <x:v>6</x:v>
      </x:c>
      <x:c r="P107" s="13">
        <x:f>O107+ROUNDUP(N107/Inputs!$B$4,0)-1</x:f>
      </x:c>
      <x:c r="Q107" s="17">
        <x:f>Inputs!$B$3+(O107-1)*Inputs!$B$4</x:f>
      </x:c>
      <x:c r="R107" s="17">
        <x:f>Q107+N107-1</x:f>
      </x:c>
      <x:c r="S107" s="9" t="inlineStr">
        <x:is>
          <x:t xml:space="preserve">PRC-02</x:t>
        </x:is>
      </x:c>
      <x:c r="T107" s="15" t="inlineStr">
        <x:is>
          <x:t xml:space="preserve">N</x:t>
        </x:is>
      </x:c>
      <x:c r="U107" s="14" t="inlineStr">
        <x:is>
          <x:t xml:space="preserve"/>
        </x:is>
      </x:c>
    </x:row>
    <x:row r="108" ht="42" customHeight="1">
      <x:c r="A108" s="9" t="inlineStr">
        <x:is>
          <x:t xml:space="preserve">SOP-02</x:t>
        </x:is>
      </x:c>
      <x:c r="B108" s="9" t="inlineStr">
        <x:is>
          <x:t xml:space="preserve">Procedure</x:t>
        </x:is>
      </x:c>
      <x:c r="C108" s="9" t="inlineStr">
        <x:is>
          <x:t xml:space="preserve">Operations</x:t>
        </x:is>
      </x:c>
      <x:c r="D108" s="13" t="n">
        <x:v>3</x:v>
      </x:c>
      <x:c r="E108" s="9" t="inlineStr">
        <x:is>
          <x:t xml:space="preserve">Runbooks</x:t>
        </x:is>
      </x:c>
      <x:c r="F108" s="9" t="inlineStr">
        <x:is>
          <x:t xml:space="preserve">Runbook: Authentication failures (401/403)</x:t>
        </x:is>
      </x:c>
      <x:c r="G108" s="14" t="inlineStr">
        <x:is>
          <x:t xml:space="preserve">Step-by-step for diagnosing credential issues, secret references, token refresh, and vendor checks.</x:t>
        </x:is>
      </x:c>
      <x:c r="H108" s="14" t="inlineStr">
        <x:is>
          <x:t xml:space="preserve">Auth failure runbook</x:t>
        </x:is>
      </x:c>
      <x:c r="I108" s="9" t="inlineStr">
        <x:is>
          <x:t xml:space="preserve">SRE/Operations</x:t>
        </x:is>
      </x:c>
      <x:c r="J108" s="15" t="inlineStr">
        <x:is>
          <x:t xml:space="preserve">R</x:t>
        </x:is>
      </x:c>
      <x:c r="K108" s="15" t="inlineStr">
        <x:is>
          <x:t xml:space="preserve">P0</x:t>
        </x:is>
      </x:c>
      <x:c r="L108" s="15" t="inlineStr">
        <x:is>
          <x:t xml:space="preserve">Not Started</x:t>
        </x:is>
      </x:c>
      <x:c r="M108" s="16" t="n">
        <x:v>2</x:v>
      </x:c>
      <x:c r="N108" s="13" t="n">
        <x:v>2</x:v>
      </x:c>
      <x:c r="O108" s="13" t="n">
        <x:v>7</x:v>
      </x:c>
      <x:c r="P108" s="13">
        <x:f>O108+ROUNDUP(N108/Inputs!$B$4,0)-1</x:f>
      </x:c>
      <x:c r="Q108" s="17">
        <x:f>Inputs!$B$3+(O108-1)*Inputs!$B$4</x:f>
      </x:c>
      <x:c r="R108" s="17">
        <x:f>Q108+N108-1</x:f>
      </x:c>
      <x:c r="S108" s="9" t="inlineStr">
        <x:is>
          <x:t xml:space="preserve">SOP-01,PRC-03</x:t>
        </x:is>
      </x:c>
      <x:c r="T108" s="15" t="inlineStr">
        <x:is>
          <x:t xml:space="preserve">N</x:t>
        </x:is>
      </x:c>
      <x:c r="U108" s="14" t="inlineStr">
        <x:is>
          <x:t xml:space="preserve"/>
        </x:is>
      </x:c>
    </x:row>
    <x:row r="109" ht="42" customHeight="1">
      <x:c r="A109" s="9" t="inlineStr">
        <x:is>
          <x:t xml:space="preserve">SOP-03</x:t>
        </x:is>
      </x:c>
      <x:c r="B109" s="9" t="inlineStr">
        <x:is>
          <x:t xml:space="preserve">Procedure</x:t>
        </x:is>
      </x:c>
      <x:c r="C109" s="9" t="inlineStr">
        <x:is>
          <x:t xml:space="preserve">Operations</x:t>
        </x:is>
      </x:c>
      <x:c r="D109" s="13" t="n">
        <x:v>3</x:v>
      </x:c>
      <x:c r="E109" s="9" t="inlineStr">
        <x:is>
          <x:t xml:space="preserve">Runbooks</x:t>
        </x:is>
      </x:c>
      <x:c r="F109" s="9" t="inlineStr">
        <x:is>
          <x:t xml:space="preserve">Runbook: Rate limiting / 429 handling</x:t>
        </x:is>
      </x:c>
      <x:c r="G109" s="14" t="inlineStr">
        <x:is>
          <x:t xml:space="preserve">Steps to confirm rate-limit cause, adjust throttles, reschedule, and contact vendor if needed.</x:t>
        </x:is>
      </x:c>
      <x:c r="H109" s="14" t="inlineStr">
        <x:is>
          <x:t xml:space="preserve">429 runbook</x:t>
        </x:is>
      </x:c>
      <x:c r="I109" s="9" t="inlineStr">
        <x:is>
          <x:t xml:space="preserve">SRE/Operations</x:t>
        </x:is>
      </x:c>
      <x:c r="J109" s="15" t="inlineStr">
        <x:is>
          <x:t xml:space="preserve">R</x:t>
        </x:is>
      </x:c>
      <x:c r="K109" s="15" t="inlineStr">
        <x:is>
          <x:t xml:space="preserve">P1</x:t>
        </x:is>
      </x:c>
      <x:c r="L109" s="15" t="inlineStr">
        <x:is>
          <x:t xml:space="preserve">Not Started</x:t>
        </x:is>
      </x:c>
      <x:c r="M109" s="16" t="n">
        <x:v>2</x:v>
      </x:c>
      <x:c r="N109" s="13" t="n">
        <x:v>2</x:v>
      </x:c>
      <x:c r="O109" s="13" t="n">
        <x:v>7</x:v>
      </x:c>
      <x:c r="P109" s="13">
        <x:f>O109+ROUNDUP(N109/Inputs!$B$4,0)-1</x:f>
      </x:c>
      <x:c r="Q109" s="17">
        <x:f>Inputs!$B$3+(O109-1)*Inputs!$B$4</x:f>
      </x:c>
      <x:c r="R109" s="17">
        <x:f>Q109+N109-1</x:f>
      </x:c>
      <x:c r="S109" s="9" t="inlineStr">
        <x:is>
          <x:t xml:space="preserve">SOP-01</x:t>
        </x:is>
      </x:c>
      <x:c r="T109" s="15" t="inlineStr">
        <x:is>
          <x:t xml:space="preserve">N</x:t>
        </x:is>
      </x:c>
      <x:c r="U109" s="14" t="inlineStr">
        <x:is>
          <x:t xml:space="preserve"/>
        </x:is>
      </x:c>
    </x:row>
    <x:row r="110" ht="42" customHeight="1">
      <x:c r="A110" s="9" t="inlineStr">
        <x:is>
          <x:t xml:space="preserve">SOP-04</x:t>
        </x:is>
      </x:c>
      <x:c r="B110" s="9" t="inlineStr">
        <x:is>
          <x:t xml:space="preserve">Procedure</x:t>
        </x:is>
      </x:c>
      <x:c r="C110" s="9" t="inlineStr">
        <x:is>
          <x:t xml:space="preserve">Operations</x:t>
        </x:is>
      </x:c>
      <x:c r="D110" s="13" t="n">
        <x:v>3</x:v>
      </x:c>
      <x:c r="E110" s="9" t="inlineStr">
        <x:is>
          <x:t xml:space="preserve">Runbooks</x:t>
        </x:is>
      </x:c>
      <x:c r="F110" s="9" t="inlineStr">
        <x:is>
          <x:t xml:space="preserve">Runbook: Vendor outage / elevated 5xx</x:t>
        </x:is>
      </x:c>
      <x:c r="G110" s="14" t="inlineStr">
        <x:is>
          <x:t xml:space="preserve">Steps to validate vendor outage, mitigate via retries/circuit breaker, and communicate status.</x:t>
        </x:is>
      </x:c>
      <x:c r="H110" s="14" t="inlineStr">
        <x:is>
          <x:t xml:space="preserve">5xx outage runbook</x:t>
        </x:is>
      </x:c>
      <x:c r="I110" s="9" t="inlineStr">
        <x:is>
          <x:t xml:space="preserve">SRE/Operations</x:t>
        </x:is>
      </x:c>
      <x:c r="J110" s="15" t="inlineStr">
        <x:is>
          <x:t xml:space="preserve">R</x:t>
        </x:is>
      </x:c>
      <x:c r="K110" s="15" t="inlineStr">
        <x:is>
          <x:t xml:space="preserve">P1</x:t>
        </x:is>
      </x:c>
      <x:c r="L110" s="15" t="inlineStr">
        <x:is>
          <x:t xml:space="preserve">Not Started</x:t>
        </x:is>
      </x:c>
      <x:c r="M110" s="16" t="n">
        <x:v>2</x:v>
      </x:c>
      <x:c r="N110" s="13" t="n">
        <x:v>2</x:v>
      </x:c>
      <x:c r="O110" s="13" t="n">
        <x:v>7</x:v>
      </x:c>
      <x:c r="P110" s="13">
        <x:f>O110+ROUNDUP(N110/Inputs!$B$4,0)-1</x:f>
      </x:c>
      <x:c r="Q110" s="17">
        <x:f>Inputs!$B$3+(O110-1)*Inputs!$B$4</x:f>
      </x:c>
      <x:c r="R110" s="17">
        <x:f>Q110+N110-1</x:f>
      </x:c>
      <x:c r="S110" s="9" t="inlineStr">
        <x:is>
          <x:t xml:space="preserve">SOP-01</x:t>
        </x:is>
      </x:c>
      <x:c r="T110" s="15" t="inlineStr">
        <x:is>
          <x:t xml:space="preserve">N</x:t>
        </x:is>
      </x:c>
      <x:c r="U110" s="14" t="inlineStr">
        <x:is>
          <x:t xml:space="preserve"/>
        </x:is>
      </x:c>
    </x:row>
    <x:row r="111" ht="42" customHeight="1">
      <x:c r="A111" s="9" t="inlineStr">
        <x:is>
          <x:t xml:space="preserve">SOP-05</x:t>
        </x:is>
      </x:c>
      <x:c r="B111" s="9" t="inlineStr">
        <x:is>
          <x:t xml:space="preserve">Procedure</x:t>
        </x:is>
      </x:c>
      <x:c r="C111" s="9" t="inlineStr">
        <x:is>
          <x:t xml:space="preserve">Operations</x:t>
        </x:is>
      </x:c>
      <x:c r="D111" s="13" t="n">
        <x:v>3</x:v>
      </x:c>
      <x:c r="E111" s="9" t="inlineStr">
        <x:is>
          <x:t xml:space="preserve">Runbooks</x:t>
        </x:is>
      </x:c>
      <x:c r="F111" s="9" t="inlineStr">
        <x:is>
          <x:t xml:space="preserve">Runbook: Schema drift detected</x:t>
        </x:is>
      </x:c>
      <x:c r="G111" s="14" t="inlineStr">
        <x:is>
          <x:t xml:space="preserve">Diagnose schema changes, identify breaking vs additive, quarantine rules, and escalation to owners.</x:t>
        </x:is>
      </x:c>
      <x:c r="H111" s="14" t="inlineStr">
        <x:is>
          <x:t xml:space="preserve">Schema drift runbook</x:t>
        </x:is>
      </x:c>
      <x:c r="I111" s="9" t="inlineStr">
        <x:is>
          <x:t xml:space="preserve">Data Engineer</x:t>
        </x:is>
      </x:c>
      <x:c r="J111" s="15" t="inlineStr">
        <x:is>
          <x:t xml:space="preserve">R</x:t>
        </x:is>
      </x:c>
      <x:c r="K111" s="15" t="inlineStr">
        <x:is>
          <x:t xml:space="preserve">P1</x:t>
        </x:is>
      </x:c>
      <x:c r="L111" s="15" t="inlineStr">
        <x:is>
          <x:t xml:space="preserve">Not Started</x:t>
        </x:is>
      </x:c>
      <x:c r="M111" s="16" t="n">
        <x:v>2</x:v>
      </x:c>
      <x:c r="N111" s="13" t="n">
        <x:v>2</x:v>
      </x:c>
      <x:c r="O111" s="13" t="n">
        <x:v>8</x:v>
      </x:c>
      <x:c r="P111" s="13">
        <x:f>O111+ROUNDUP(N111/Inputs!$B$4,0)-1</x:f>
      </x:c>
      <x:c r="Q111" s="17">
        <x:f>Inputs!$B$3+(O111-1)*Inputs!$B$4</x:f>
      </x:c>
      <x:c r="R111" s="17">
        <x:f>Q111+N111-1</x:f>
      </x:c>
      <x:c r="S111" s="9" t="inlineStr">
        <x:is>
          <x:t xml:space="preserve">SOP-01</x:t>
        </x:is>
      </x:c>
      <x:c r="T111" s="15" t="inlineStr">
        <x:is>
          <x:t xml:space="preserve">N</x:t>
        </x:is>
      </x:c>
      <x:c r="U111" s="14" t="inlineStr">
        <x:is>
          <x:t xml:space="preserve"/>
        </x:is>
      </x:c>
    </x:row>
    <x:row r="112" ht="42" customHeight="1">
      <x:c r="A112" s="9" t="inlineStr">
        <x:is>
          <x:t xml:space="preserve">SOP-06</x:t>
        </x:is>
      </x:c>
      <x:c r="B112" s="9" t="inlineStr">
        <x:is>
          <x:t xml:space="preserve">Procedure</x:t>
        </x:is>
      </x:c>
      <x:c r="C112" s="9" t="inlineStr">
        <x:is>
          <x:t xml:space="preserve">Operations</x:t>
        </x:is>
      </x:c>
      <x:c r="D112" s="13" t="n">
        <x:v>3</x:v>
      </x:c>
      <x:c r="E112" s="9" t="inlineStr">
        <x:is>
          <x:t xml:space="preserve">Runbooks</x:t>
        </x:is>
      </x:c>
      <x:c r="F112" s="9" t="inlineStr">
        <x:is>
          <x:t xml:space="preserve">Runbook: Bronze write failures (storage/permissions)</x:t>
        </x:is>
      </x:c>
      <x:c r="G112" s="14" t="inlineStr">
        <x:is>
          <x:t xml:space="preserve">Check UC permissions, storage mount, Delta transaction errors, and recovery steps.</x:t>
        </x:is>
      </x:c>
      <x:c r="H112" s="14" t="inlineStr">
        <x:is>
          <x:t xml:space="preserve">Bronze write failure runbook</x:t>
        </x:is>
      </x:c>
      <x:c r="I112" s="9" t="inlineStr">
        <x:is>
          <x:t xml:space="preserve">SRE/Operations</x:t>
        </x:is>
      </x:c>
      <x:c r="J112" s="15" t="inlineStr">
        <x:is>
          <x:t xml:space="preserve">R</x:t>
        </x:is>
      </x:c>
      <x:c r="K112" s="15" t="inlineStr">
        <x:is>
          <x:t xml:space="preserve">P0</x:t>
        </x:is>
      </x:c>
      <x:c r="L112" s="15" t="inlineStr">
        <x:is>
          <x:t xml:space="preserve">Not Started</x:t>
        </x:is>
      </x:c>
      <x:c r="M112" s="16" t="n">
        <x:v>2</x:v>
      </x:c>
      <x:c r="N112" s="13" t="n">
        <x:v>2</x:v>
      </x:c>
      <x:c r="O112" s="13" t="n">
        <x:v>8</x:v>
      </x:c>
      <x:c r="P112" s="13">
        <x:f>O112+ROUNDUP(N112/Inputs!$B$4,0)-1</x:f>
      </x:c>
      <x:c r="Q112" s="17">
        <x:f>Inputs!$B$3+(O112-1)*Inputs!$B$4</x:f>
      </x:c>
      <x:c r="R112" s="17">
        <x:f>Q112+N112-1</x:f>
      </x:c>
      <x:c r="S112" s="9" t="inlineStr">
        <x:is>
          <x:t xml:space="preserve">SOP-01</x:t>
        </x:is>
      </x:c>
      <x:c r="T112" s="15" t="inlineStr">
        <x:is>
          <x:t xml:space="preserve">N</x:t>
        </x:is>
      </x:c>
      <x:c r="U112" s="14" t="inlineStr">
        <x:is>
          <x:t xml:space="preserve"/>
        </x:is>
      </x:c>
    </x:row>
    <x:row r="113" ht="42" customHeight="1">
      <x:c r="A113" s="9" t="inlineStr">
        <x:is>
          <x:t xml:space="preserve">SOP-19</x:t>
        </x:is>
      </x:c>
      <x:c r="B113" s="9" t="inlineStr">
        <x:is>
          <x:t xml:space="preserve">Procedure</x:t>
        </x:is>
      </x:c>
      <x:c r="C113" s="9" t="inlineStr">
        <x:is>
          <x:t xml:space="preserve">Operations</x:t>
        </x:is>
      </x:c>
      <x:c r="D113" s="13" t="n">
        <x:v>3</x:v>
      </x:c>
      <x:c r="E113" s="9" t="inlineStr">
        <x:is>
          <x:t xml:space="preserve">Procedure</x:t>
        </x:is>
      </x:c>
      <x:c r="F113" s="9" t="inlineStr">
        <x:is>
          <x:t xml:space="preserve">Procedure: Classify an ingestion failure (taxonomy)</x:t>
        </x:is>
      </x:c>
      <x:c r="G113" s="14" t="inlineStr">
        <x:is>
          <x:t xml:space="preserve">Map common errors to error types, severity, and routing; ensure consistent categorization in errors table.</x:t>
        </x:is>
      </x:c>
      <x:c r="H113" s="14" t="inlineStr">
        <x:is>
          <x:t xml:space="preserve">Error taxonomy procedure</x:t>
        </x:is>
      </x:c>
      <x:c r="I113" s="9" t="inlineStr">
        <x:is>
          <x:t xml:space="preserve">SRE/Operations</x:t>
        </x:is>
      </x:c>
      <x:c r="J113" s="15" t="inlineStr">
        <x:is>
          <x:t xml:space="preserve">R</x:t>
        </x:is>
      </x:c>
      <x:c r="K113" s="15" t="inlineStr">
        <x:is>
          <x:t xml:space="preserve">P1</x:t>
        </x:is>
      </x:c>
      <x:c r="L113" s="15" t="inlineStr">
        <x:is>
          <x:t xml:space="preserve">Not Started</x:t>
        </x:is>
      </x:c>
      <x:c r="M113" s="16" t="n">
        <x:v>2</x:v>
      </x:c>
      <x:c r="N113" s="13" t="n">
        <x:v>2</x:v>
      </x:c>
      <x:c r="O113" s="13" t="n">
        <x:v>8</x:v>
      </x:c>
      <x:c r="P113" s="13">
        <x:f>O113+ROUNDUP(N113/Inputs!$B$4,0)-1</x:f>
      </x:c>
      <x:c r="Q113" s="17">
        <x:f>Inputs!$B$3+(O113-1)*Inputs!$B$4</x:f>
      </x:c>
      <x:c r="R113" s="17">
        <x:f>Q113+N113-1</x:f>
      </x:c>
      <x:c r="S113" s="9" t="inlineStr">
        <x:is>
          <x:t xml:space="preserve">PLY-02</x:t>
        </x:is>
      </x:c>
      <x:c r="T113" s="15" t="inlineStr">
        <x:is>
          <x:t xml:space="preserve">N</x:t>
        </x:is>
      </x:c>
      <x:c r="U113" s="14" t="inlineStr">
        <x:is>
          <x:t xml:space="preserve"/>
        </x:is>
      </x:c>
    </x:row>
    <x:row r="114" ht="42" customHeight="1">
      <x:c r="A114" s="9" t="inlineStr">
        <x:is>
          <x:t xml:space="preserve">SOP-07</x:t>
        </x:is>
      </x:c>
      <x:c r="B114" s="9" t="inlineStr">
        <x:is>
          <x:t xml:space="preserve">Procedure</x:t>
        </x:is>
      </x:c>
      <x:c r="C114" s="9" t="inlineStr">
        <x:is>
          <x:t xml:space="preserve">Operations</x:t>
        </x:is>
      </x:c>
      <x:c r="D114" s="13" t="n">
        <x:v>3</x:v>
      </x:c>
      <x:c r="E114" s="9" t="inlineStr">
        <x:is>
          <x:t xml:space="preserve">Runbooks</x:t>
        </x:is>
      </x:c>
      <x:c r="F114" s="9" t="inlineStr">
        <x:is>
          <x:t xml:space="preserve">Runbook: DLQ growth / parse failures</x:t>
        </x:is>
      </x:c>
      <x:c r="G114" s="14" t="inlineStr">
        <x:is>
          <x:t xml:space="preserve">Identify root cause, isolate sources/endpoints, replay strategy and validation steps.</x:t>
        </x:is>
      </x:c>
      <x:c r="H114" s="14" t="inlineStr">
        <x:is>
          <x:t xml:space="preserve">DLQ growth runbook</x:t>
        </x:is>
      </x:c>
      <x:c r="I114" s="9" t="inlineStr">
        <x:is>
          <x:t xml:space="preserve">Data Engineer</x:t>
        </x:is>
      </x:c>
      <x:c r="J114" s="15" t="inlineStr">
        <x:is>
          <x:t xml:space="preserve">R</x:t>
        </x:is>
      </x:c>
      <x:c r="K114" s="15" t="inlineStr">
        <x:is>
          <x:t xml:space="preserve">P1</x:t>
        </x:is>
      </x:c>
      <x:c r="L114" s="15" t="inlineStr">
        <x:is>
          <x:t xml:space="preserve">Not Started</x:t>
        </x:is>
      </x:c>
      <x:c r="M114" s="16" t="n">
        <x:v>2</x:v>
      </x:c>
      <x:c r="N114" s="13" t="n">
        <x:v>2</x:v>
      </x:c>
      <x:c r="O114" s="13" t="n">
        <x:v>9</x:v>
      </x:c>
      <x:c r="P114" s="13">
        <x:f>O114+ROUNDUP(N114/Inputs!$B$4,0)-1</x:f>
      </x:c>
      <x:c r="Q114" s="17">
        <x:f>Inputs!$B$3+(O114-1)*Inputs!$B$4</x:f>
      </x:c>
      <x:c r="R114" s="17">
        <x:f>Q114+N114-1</x:f>
      </x:c>
      <x:c r="S114" s="9" t="inlineStr">
        <x:is>
          <x:t xml:space="preserve">SOP-01</x:t>
        </x:is>
      </x:c>
      <x:c r="T114" s="15" t="inlineStr">
        <x:is>
          <x:t xml:space="preserve">N</x:t>
        </x:is>
      </x:c>
      <x:c r="U114" s="14" t="inlineStr">
        <x:is>
          <x:t xml:space="preserve"/>
        </x:is>
      </x:c>
    </x:row>
    <x:row r="115" ht="42" customHeight="1">
      <x:c r="A115" s="9" t="inlineStr">
        <x:is>
          <x:t xml:space="preserve">SOP-21</x:t>
        </x:is>
      </x:c>
      <x:c r="B115" s="9" t="inlineStr">
        <x:is>
          <x:t xml:space="preserve">Procedure</x:t>
        </x:is>
      </x:c>
      <x:c r="C115" s="9" t="inlineStr">
        <x:is>
          <x:t xml:space="preserve">Operations</x:t>
        </x:is>
      </x:c>
      <x:c r="D115" s="13" t="n">
        <x:v>3</x:v>
      </x:c>
      <x:c r="E115" s="9" t="inlineStr">
        <x:is>
          <x:t xml:space="preserve">Runbooks</x:t>
        </x:is>
      </x:c>
      <x:c r="F115" s="9" t="inlineStr">
        <x:is>
          <x:t xml:space="preserve">Runbook: Config validation/publish failure</x:t>
        </x:is>
      </x:c>
      <x:c r="G115" s="14" t="inlineStr">
        <x:is>
          <x:t xml:space="preserve">Steps to diagnose CI config validation failures and registry publish issues.</x:t>
        </x:is>
      </x:c>
      <x:c r="H115" s="14" t="inlineStr">
        <x:is>
          <x:t xml:space="preserve">Config publish runbook</x:t>
        </x:is>
      </x:c>
      <x:c r="I115" s="9" t="inlineStr">
        <x:is>
          <x:t xml:space="preserve">DevOps/Platform Eng</x:t>
        </x:is>
      </x:c>
      <x:c r="J115" s="15" t="inlineStr">
        <x:is>
          <x:t xml:space="preserve">R</x:t>
        </x:is>
      </x:c>
      <x:c r="K115" s="15" t="inlineStr">
        <x:is>
          <x:t xml:space="preserve">P1</x:t>
        </x:is>
      </x:c>
      <x:c r="L115" s="15" t="inlineStr">
        <x:is>
          <x:t xml:space="preserve">Not Started</x:t>
        </x:is>
      </x:c>
      <x:c r="M115" s="16" t="n">
        <x:v>2</x:v>
      </x:c>
      <x:c r="N115" s="13" t="n">
        <x:v>2</x:v>
      </x:c>
      <x:c r="O115" s="13" t="n">
        <x:v>9</x:v>
      </x:c>
      <x:c r="P115" s="13">
        <x:f>O115+ROUNDUP(N115/Inputs!$B$4,0)-1</x:f>
      </x:c>
      <x:c r="Q115" s="17">
        <x:f>Inputs!$B$3+(O115-1)*Inputs!$B$4</x:f>
      </x:c>
      <x:c r="R115" s="17">
        <x:f>Q115+N115-1</x:f>
      </x:c>
      <x:c r="S115" s="9" t="inlineStr">
        <x:is>
          <x:t xml:space="preserve">SOP-01</x:t>
        </x:is>
      </x:c>
      <x:c r="T115" s="15" t="inlineStr">
        <x:is>
          <x:t xml:space="preserve">N</x:t>
        </x:is>
      </x:c>
      <x:c r="U115" s="14" t="inlineStr">
        <x:is>
          <x:t xml:space="preserve"/>
        </x:is>
      </x:c>
    </x:row>
    <x:row r="116" ht="42" customHeight="1">
      <x:c r="A116" s="9" t="inlineStr">
        <x:is>
          <x:t xml:space="preserve">SOP-22</x:t>
        </x:is>
      </x:c>
      <x:c r="B116" s="9" t="inlineStr">
        <x:is>
          <x:t xml:space="preserve">Procedure</x:t>
        </x:is>
      </x:c>
      <x:c r="C116" s="9" t="inlineStr">
        <x:is>
          <x:t xml:space="preserve">Operations</x:t>
        </x:is>
      </x:c>
      <x:c r="D116" s="13" t="n">
        <x:v>3</x:v>
      </x:c>
      <x:c r="E116" s="9" t="inlineStr">
        <x:is>
          <x:t xml:space="preserve">Runbooks</x:t>
        </x:is>
      </x:c>
      <x:c r="F116" s="9" t="inlineStr">
        <x:is>
          <x:t xml:space="preserve">Runbook: Stuck jobs / orchestration failures</x:t>
        </x:is>
      </x:c>
      <x:c r="G116" s="14" t="inlineStr">
        <x:is>
          <x:t xml:space="preserve">Diagnose workflow/task failures, cluster issues, concurrency limits.</x:t>
        </x:is>
      </x:c>
      <x:c r="H116" s="14" t="inlineStr">
        <x:is>
          <x:t xml:space="preserve">Orchestration runbook</x:t>
        </x:is>
      </x:c>
      <x:c r="I116" s="9" t="inlineStr">
        <x:is>
          <x:t xml:space="preserve">SRE/Operations</x:t>
        </x:is>
      </x:c>
      <x:c r="J116" s="15" t="inlineStr">
        <x:is>
          <x:t xml:space="preserve">R</x:t>
        </x:is>
      </x:c>
      <x:c r="K116" s="15" t="inlineStr">
        <x:is>
          <x:t xml:space="preserve">P1</x:t>
        </x:is>
      </x:c>
      <x:c r="L116" s="15" t="inlineStr">
        <x:is>
          <x:t xml:space="preserve">Not Started</x:t>
        </x:is>
      </x:c>
      <x:c r="M116" s="16" t="n">
        <x:v>2</x:v>
      </x:c>
      <x:c r="N116" s="13" t="n">
        <x:v>2</x:v>
      </x:c>
      <x:c r="O116" s="13" t="n">
        <x:v>9</x:v>
      </x:c>
      <x:c r="P116" s="13">
        <x:f>O116+ROUNDUP(N116/Inputs!$B$4,0)-1</x:f>
      </x:c>
      <x:c r="Q116" s="17">
        <x:f>Inputs!$B$3+(O116-1)*Inputs!$B$4</x:f>
      </x:c>
      <x:c r="R116" s="17">
        <x:f>Q116+N116-1</x:f>
      </x:c>
      <x:c r="S116" s="9" t="inlineStr">
        <x:is>
          <x:t xml:space="preserve">SOP-01</x:t>
        </x:is>
      </x:c>
      <x:c r="T116" s="15" t="inlineStr">
        <x:is>
          <x:t xml:space="preserve">N</x:t>
        </x:is>
      </x:c>
      <x:c r="U116" s="14" t="inlineStr">
        <x:is>
          <x:t xml:space="preserve"/>
        </x:is>
      </x:c>
    </x:row>
    <x:row r="117" ht="42" customHeight="1">
      <x:c r="A117" s="9" t="inlineStr">
        <x:is>
          <x:t xml:space="preserve">SOP-15</x:t>
        </x:is>
      </x:c>
      <x:c r="B117" s="9" t="inlineStr">
        <x:is>
          <x:t xml:space="preserve">Procedure</x:t>
        </x:is>
      </x:c>
      <x:c r="C117" s="9" t="inlineStr">
        <x:is>
          <x:t xml:space="preserve">Operations</x:t>
        </x:is>
      </x:c>
      <x:c r="D117" s="13" t="n">
        <x:v>3</x:v>
      </x:c>
      <x:c r="E117" s="9" t="inlineStr">
        <x:is>
          <x:t xml:space="preserve">SOP</x:t>
        </x:is>
      </x:c>
      <x:c r="F117" s="9" t="inlineStr">
        <x:is>
          <x:t xml:space="preserve">SOP: Alert tuning and suppression</x:t>
        </x:is>
      </x:c>
      <x:c r="G117" s="14" t="inlineStr">
        <x:is>
          <x:t xml:space="preserve">Procedure to adjust thresholds, implement dedupe, suppression windows, and track changes.</x:t>
        </x:is>
      </x:c>
      <x:c r="H117" s="14" t="inlineStr">
        <x:is>
          <x:t xml:space="preserve">Alert tuning SOP</x:t>
        </x:is>
      </x:c>
      <x:c r="I117" s="9" t="inlineStr">
        <x:is>
          <x:t xml:space="preserve">SRE/Operations</x:t>
        </x:is>
      </x:c>
      <x:c r="J117" s="15" t="inlineStr">
        <x:is>
          <x:t xml:space="preserve">R</x:t>
        </x:is>
      </x:c>
      <x:c r="K117" s="15" t="inlineStr">
        <x:is>
          <x:t xml:space="preserve">P2</x:t>
        </x:is>
      </x:c>
      <x:c r="L117" s="15" t="inlineStr">
        <x:is>
          <x:t xml:space="preserve">Not Started</x:t>
        </x:is>
      </x:c>
      <x:c r="M117" s="16" t="n">
        <x:v>2</x:v>
      </x:c>
      <x:c r="N117" s="13" t="n">
        <x:v>2</x:v>
      </x:c>
      <x:c r="O117" s="13" t="n">
        <x:v>10</x:v>
      </x:c>
      <x:c r="P117" s="13">
        <x:f>O117+ROUNDUP(N117/Inputs!$B$4,0)-1</x:f>
      </x:c>
      <x:c r="Q117" s="17">
        <x:f>Inputs!$B$3+(O117-1)*Inputs!$B$4</x:f>
      </x:c>
      <x:c r="R117" s="17">
        <x:f>Q117+N117-1</x:f>
      </x:c>
      <x:c r="S117" s="9" t="inlineStr">
        <x:is>
          <x:t xml:space="preserve">PLY-09</x:t>
        </x:is>
      </x:c>
      <x:c r="T117" s="15" t="inlineStr">
        <x:is>
          <x:t xml:space="preserve">N</x:t>
        </x:is>
      </x:c>
      <x:c r="U117" s="14" t="inlineStr">
        <x:is>
          <x:t xml:space="preserve"/>
        </x:is>
      </x:c>
    </x:row>
    <x:row r="118" ht="42" customHeight="1">
      <x:c r="A118" s="9" t="inlineStr">
        <x:is>
          <x:t xml:space="preserve">SOP-23</x:t>
        </x:is>
      </x:c>
      <x:c r="B118" s="9" t="inlineStr">
        <x:is>
          <x:t xml:space="preserve">Procedure</x:t>
        </x:is>
      </x:c>
      <x:c r="C118" s="9" t="inlineStr">
        <x:is>
          <x:t xml:space="preserve">Operations</x:t>
        </x:is>
      </x:c>
      <x:c r="D118" s="13" t="n">
        <x:v>3</x:v>
      </x:c>
      <x:c r="E118" s="9" t="inlineStr">
        <x:is>
          <x:t xml:space="preserve">Runbooks</x:t>
        </x:is>
      </x:c>
      <x:c r="F118" s="9" t="inlineStr">
        <x:is>
          <x:t xml:space="preserve">Runbook: Data freshness lag breach</x:t>
        </x:is>
      </x:c>
      <x:c r="G118" s="14" t="inlineStr">
        <x:is>
          <x:t xml:space="preserve">Diagnose lag, check schedule, rate limits, upstream delays, and mitigation.</x:t>
        </x:is>
      </x:c>
      <x:c r="H118" s="14" t="inlineStr">
        <x:is>
          <x:t xml:space="preserve">Freshness lag runbook</x:t>
        </x:is>
      </x:c>
      <x:c r="I118" s="9" t="inlineStr">
        <x:is>
          <x:t xml:space="preserve">SRE/Operations</x:t>
        </x:is>
      </x:c>
      <x:c r="J118" s="15" t="inlineStr">
        <x:is>
          <x:t xml:space="preserve">R</x:t>
        </x:is>
      </x:c>
      <x:c r="K118" s="15" t="inlineStr">
        <x:is>
          <x:t xml:space="preserve">P1</x:t>
        </x:is>
      </x:c>
      <x:c r="L118" s="15" t="inlineStr">
        <x:is>
          <x:t xml:space="preserve">Not Started</x:t>
        </x:is>
      </x:c>
      <x:c r="M118" s="16" t="n">
        <x:v>2</x:v>
      </x:c>
      <x:c r="N118" s="13" t="n">
        <x:v>2</x:v>
      </x:c>
      <x:c r="O118" s="13" t="n">
        <x:v>10</x:v>
      </x:c>
      <x:c r="P118" s="13">
        <x:f>O118+ROUNDUP(N118/Inputs!$B$4,0)-1</x:f>
      </x:c>
      <x:c r="Q118" s="17">
        <x:f>Inputs!$B$3+(O118-1)*Inputs!$B$4</x:f>
      </x:c>
      <x:c r="R118" s="17">
        <x:f>Q118+N118-1</x:f>
      </x:c>
      <x:c r="S118" s="9" t="inlineStr">
        <x:is>
          <x:t xml:space="preserve">SOP-01</x:t>
        </x:is>
      </x:c>
      <x:c r="T118" s="15" t="inlineStr">
        <x:is>
          <x:t xml:space="preserve">N</x:t>
        </x:is>
      </x:c>
      <x:c r="U118" s="14" t="inlineStr">
        <x:is>
          <x:t xml:space="preserve"/>
        </x:is>
      </x:c>
    </x:row>
    <x:row r="119" ht="42" customHeight="1">
      <x:c r="A119" s="9" t="inlineStr">
        <x:is>
          <x:t xml:space="preserve">SOP-20</x:t>
        </x:is>
      </x:c>
      <x:c r="B119" s="9" t="inlineStr">
        <x:is>
          <x:t xml:space="preserve">Procedure</x:t>
        </x:is>
      </x:c>
      <x:c r="C119" s="9" t="inlineStr">
        <x:is>
          <x:t xml:space="preserve">Governance</x:t>
        </x:is>
      </x:c>
      <x:c r="D119" s="13" t="n">
        <x:v>4</x:v>
      </x:c>
      <x:c r="E119" s="9" t="inlineStr">
        <x:is>
          <x:t xml:space="preserve">Procedure</x:t>
        </x:is>
      </x:c>
      <x:c r="F119" s="9" t="inlineStr">
        <x:is>
          <x:t xml:space="preserve">Procedure: Source intake form completion</x:t>
        </x:is>
      </x:c>
      <x:c r="G119" s="14" t="inlineStr">
        <x:is>
          <x:t xml:space="preserve">Detailed instructions for requestors to complete the intake form (required fields and examples).</x:t>
        </x:is>
      </x:c>
      <x:c r="H119" s="14" t="inlineStr">
        <x:is>
          <x:t xml:space="preserve">Intake form instructions</x:t>
        </x:is>
      </x:c>
      <x:c r="I119" s="9" t="inlineStr">
        <x:is>
          <x:t xml:space="preserve">Product Owner</x:t>
        </x:is>
      </x:c>
      <x:c r="J119" s="15" t="inlineStr">
        <x:is>
          <x:t xml:space="preserve">R</x:t>
        </x:is>
      </x:c>
      <x:c r="K119" s="15" t="inlineStr">
        <x:is>
          <x:t xml:space="preserve">P2</x:t>
        </x:is>
      </x:c>
      <x:c r="L119" s="15" t="inlineStr">
        <x:is>
          <x:t xml:space="preserve">Not Started</x:t>
        </x:is>
      </x:c>
      <x:c r="M119" s="16" t="n">
        <x:v>1</x:v>
      </x:c>
      <x:c r="N119" s="13" t="n">
        <x:v>1</x:v>
      </x:c>
      <x:c r="O119" s="13" t="n">
        <x:v>7</x:v>
      </x:c>
      <x:c r="P119" s="13">
        <x:f>O119+ROUNDUP(N119/Inputs!$B$4,0)-1</x:f>
      </x:c>
      <x:c r="Q119" s="17">
        <x:f>Inputs!$B$3+(O119-1)*Inputs!$B$4</x:f>
      </x:c>
      <x:c r="R119" s="17">
        <x:f>Q119+N119-1</x:f>
      </x:c>
      <x:c r="S119" s="9" t="inlineStr">
        <x:is>
          <x:t xml:space="preserve">PRC-06</x:t>
        </x:is>
      </x:c>
      <x:c r="T119" s="15" t="inlineStr">
        <x:is>
          <x:t xml:space="preserve">N</x:t>
        </x:is>
      </x:c>
      <x:c r="U119" s="14" t="inlineStr">
        <x:is>
          <x:t xml:space="preserve"/>
        </x:is>
      </x:c>
    </x:row>
    <x:row r="120" ht="42" customHeight="1">
      <x:c r="A120" s="9" t="inlineStr">
        <x:is>
          <x:t xml:space="preserve">SOP-08</x:t>
        </x:is>
      </x:c>
      <x:c r="B120" s="9" t="inlineStr">
        <x:is>
          <x:t xml:space="preserve">Procedure</x:t>
        </x:is>
      </x:c>
      <x:c r="C120" s="9" t="inlineStr">
        <x:is>
          <x:t xml:space="preserve">Operations</x:t>
        </x:is>
      </x:c>
      <x:c r="D120" s="13" t="n">
        <x:v>4</x:v>
      </x:c>
      <x:c r="E120" s="9" t="inlineStr">
        <x:is>
          <x:t xml:space="preserve">SOP</x:t>
        </x:is>
      </x:c>
      <x:c r="F120" s="9" t="inlineStr">
        <x:is>
          <x:t xml:space="preserve">SOP: Source onboarding checklist (operator view)</x:t>
        </x:is>
      </x:c>
      <x:c r="G120" s="14" t="inlineStr">
        <x:is>
          <x:t xml:space="preserve">Step-by-step to onboard a source using templates, configs, secret references and enabling schedules.</x:t>
        </x:is>
      </x:c>
      <x:c r="H120" s="14" t="inlineStr">
        <x:is>
          <x:t xml:space="preserve">Onboarding SOP</x:t>
        </x:is>
      </x:c>
      <x:c r="I120" s="9" t="inlineStr">
        <x:is>
          <x:t xml:space="preserve">Data Engineer</x:t>
        </x:is>
      </x:c>
      <x:c r="J120" s="15" t="inlineStr">
        <x:is>
          <x:t xml:space="preserve">R</x:t>
        </x:is>
      </x:c>
      <x:c r="K120" s="15" t="inlineStr">
        <x:is>
          <x:t xml:space="preserve">P1</x:t>
        </x:is>
      </x:c>
      <x:c r="L120" s="15" t="inlineStr">
        <x:is>
          <x:t xml:space="preserve">Not Started</x:t>
        </x:is>
      </x:c>
      <x:c r="M120" s="16" t="n">
        <x:v>3</x:v>
      </x:c>
      <x:c r="N120" s="13" t="n">
        <x:v>3</x:v>
      </x:c>
      <x:c r="O120" s="13" t="n">
        <x:v>9</x:v>
      </x:c>
      <x:c r="P120" s="13">
        <x:f>O120+ROUNDUP(N120/Inputs!$B$4,0)-1</x:f>
      </x:c>
      <x:c r="Q120" s="17">
        <x:f>Inputs!$B$3+(O120-1)*Inputs!$B$4</x:f>
      </x:c>
      <x:c r="R120" s="17">
        <x:f>Q120+N120-1</x:f>
      </x:c>
      <x:c r="S120" s="9" t="inlineStr">
        <x:is>
          <x:t xml:space="preserve">PRC-06</x:t>
        </x:is>
      </x:c>
      <x:c r="T120" s="15" t="inlineStr">
        <x:is>
          <x:t xml:space="preserve">N</x:t>
        </x:is>
      </x:c>
      <x:c r="U120" s="14" t="inlineStr">
        <x:is>
          <x:t xml:space="preserve"/>
        </x:is>
      </x:c>
    </x:row>
    <x:row r="121" ht="42" customHeight="1">
      <x:c r="A121" s="9" t="inlineStr">
        <x:is>
          <x:t xml:space="preserve">SOP-14</x:t>
        </x:is>
      </x:c>
      <x:c r="B121" s="9" t="inlineStr">
        <x:is>
          <x:t xml:space="preserve">Procedure</x:t>
        </x:is>
      </x:c>
      <x:c r="C121" s="9" t="inlineStr">
        <x:is>
          <x:t xml:space="preserve">Operations</x:t>
        </x:is>
      </x:c>
      <x:c r="D121" s="13" t="n">
        <x:v>4</x:v>
      </x:c>
      <x:c r="E121" s="9" t="inlineStr">
        <x:is>
          <x:t xml:space="preserve">SOP</x:t>
        </x:is>
      </x:c>
      <x:c r="F121" s="9" t="inlineStr">
        <x:is>
          <x:t xml:space="preserve">SOP: Backfill execution</x:t>
        </x:is>
      </x:c>
      <x:c r="G121" s="14" t="inlineStr">
        <x:is>
          <x:t xml:space="preserve">How to run approved backfills, manage compute, validate row counts and close request with evidence.</x:t>
        </x:is>
      </x:c>
      <x:c r="H121" s="14" t="inlineStr">
        <x:is>
          <x:t xml:space="preserve">Backfill SOP</x:t>
        </x:is>
      </x:c>
      <x:c r="I121" s="9" t="inlineStr">
        <x:is>
          <x:t xml:space="preserve">Data Engineer</x:t>
        </x:is>
      </x:c>
      <x:c r="J121" s="15" t="inlineStr">
        <x:is>
          <x:t xml:space="preserve">R</x:t>
        </x:is>
      </x:c>
      <x:c r="K121" s="15" t="inlineStr">
        <x:is>
          <x:t xml:space="preserve">P2</x:t>
        </x:is>
      </x:c>
      <x:c r="L121" s="15" t="inlineStr">
        <x:is>
          <x:t xml:space="preserve">Not Started</x:t>
        </x:is>
      </x:c>
      <x:c r="M121" s="16" t="n">
        <x:v>2</x:v>
      </x:c>
      <x:c r="N121" s="13" t="n">
        <x:v>2</x:v>
      </x:c>
      <x:c r="O121" s="13" t="n">
        <x:v>10</x:v>
      </x:c>
      <x:c r="P121" s="13">
        <x:f>O121+ROUNDUP(N121/Inputs!$B$4,0)-1</x:f>
      </x:c>
      <x:c r="Q121" s="17">
        <x:f>Inputs!$B$3+(O121-1)*Inputs!$B$4</x:f>
      </x:c>
      <x:c r="R121" s="17">
        <x:f>Q121+N121-1</x:f>
      </x:c>
      <x:c r="S121" s="9" t="inlineStr">
        <x:is>
          <x:t xml:space="preserve">PRC-08</x:t>
        </x:is>
      </x:c>
      <x:c r="T121" s="15" t="inlineStr">
        <x:is>
          <x:t xml:space="preserve">N</x:t>
        </x:is>
      </x:c>
      <x:c r="U121" s="14" t="inlineStr">
        <x:is>
          <x:t xml:space="preserve"/>
        </x:is>
      </x:c>
    </x:row>
    <x:row r="122" ht="42" customHeight="1">
      <x:c r="A122" s="9" t="inlineStr">
        <x:is>
          <x:t xml:space="preserve">SOP-24</x:t>
        </x:is>
      </x:c>
      <x:c r="B122" s="9" t="inlineStr">
        <x:is>
          <x:t xml:space="preserve">Procedure</x:t>
        </x:is>
      </x:c>
      <x:c r="C122" s="9" t="inlineStr">
        <x:is>
          <x:t xml:space="preserve">Operations</x:t>
        </x:is>
      </x:c>
      <x:c r="D122" s="13" t="n">
        <x:v>5</x:v>
      </x:c>
      <x:c r="E122" s="9" t="inlineStr">
        <x:is>
          <x:t xml:space="preserve">SOP</x:t>
        </x:is>
      </x:c>
      <x:c r="F122" s="9" t="inlineStr">
        <x:is>
          <x:t xml:space="preserve">SOP: Retention purge job execution</x:t>
        </x:is>
      </x:c>
      <x:c r="G122" s="14" t="inlineStr">
        <x:is>
          <x:t xml:space="preserve">How to run/verify purge jobs, validate deletions, and capture evidence.</x:t>
        </x:is>
      </x:c>
      <x:c r="H122" s="14" t="inlineStr">
        <x:is>
          <x:t xml:space="preserve">Purge SOP</x:t>
        </x:is>
      </x:c>
      <x:c r="I122" s="9" t="inlineStr">
        <x:is>
          <x:t xml:space="preserve">SRE/Operations</x:t>
        </x:is>
      </x:c>
      <x:c r="J122" s="15" t="inlineStr">
        <x:is>
          <x:t xml:space="preserve">R</x:t>
        </x:is>
      </x:c>
      <x:c r="K122" s="15" t="inlineStr">
        <x:is>
          <x:t xml:space="preserve">P2</x:t>
        </x:is>
      </x:c>
      <x:c r="L122" s="15" t="inlineStr">
        <x:is>
          <x:t xml:space="preserve">Not Started</x:t>
        </x:is>
      </x:c>
      <x:c r="M122" s="16" t="n">
        <x:v>2</x:v>
      </x:c>
      <x:c r="N122" s="13" t="n">
        <x:v>2</x:v>
      </x:c>
      <x:c r="O122" s="13" t="n">
        <x:v>12</x:v>
      </x:c>
      <x:c r="P122" s="13">
        <x:f>O122+ROUNDUP(N122/Inputs!$B$4,0)-1</x:f>
      </x:c>
      <x:c r="Q122" s="17">
        <x:f>Inputs!$B$3+(O122-1)*Inputs!$B$4</x:f>
      </x:c>
      <x:c r="R122" s="17">
        <x:f>Q122+N122-1</x:f>
      </x:c>
      <x:c r="S122" s="9" t="inlineStr">
        <x:is>
          <x:t xml:space="preserve">SOP-01</x:t>
        </x:is>
      </x:c>
      <x:c r="T122" s="15" t="inlineStr">
        <x:is>
          <x:t xml:space="preserve">N</x:t>
        </x:is>
      </x:c>
      <x:c r="U122" s="14" t="inlineStr">
        <x:is>
          <x:t xml:space="preserve"/>
        </x:is>
      </x:c>
    </x:row>
    <x:row r="123" ht="42" customHeight="1">
      <x:c r="A123" s="9" t="inlineStr">
        <x:is>
          <x:t xml:space="preserve">SOP-25</x:t>
        </x:is>
      </x:c>
      <x:c r="B123" s="9" t="inlineStr">
        <x:is>
          <x:t xml:space="preserve">Procedure</x:t>
        </x:is>
      </x:c>
      <x:c r="C123" s="9" t="inlineStr">
        <x:is>
          <x:t xml:space="preserve">Operations</x:t>
        </x:is>
      </x:c>
      <x:c r="D123" s="13" t="n">
        <x:v>5</x:v>
      </x:c>
      <x:c r="E123" s="9" t="inlineStr">
        <x:is>
          <x:t xml:space="preserve">SOP</x:t>
        </x:is>
      </x:c>
      <x:c r="F123" s="9" t="inlineStr">
        <x:is>
          <x:t xml:space="preserve">SOP: Compute cost anomaly investigation</x:t>
        </x:is>
      </x:c>
      <x:c r="G123" s="14" t="inlineStr">
        <x:is>
          <x:t xml:space="preserve">Procedure to investigate cost spikes, identify offending sources, and tune schedules/throttles.</x:t>
        </x:is>
      </x:c>
      <x:c r="H123" s="14" t="inlineStr">
        <x:is>
          <x:t xml:space="preserve">Cost anomaly SOP</x:t>
        </x:is>
      </x:c>
      <x:c r="I123" s="9" t="inlineStr">
        <x:is>
          <x:t xml:space="preserve">SRE/Operations</x:t>
        </x:is>
      </x:c>
      <x:c r="J123" s="15" t="inlineStr">
        <x:is>
          <x:t xml:space="preserve">R</x:t>
        </x:is>
      </x:c>
      <x:c r="K123" s="15" t="inlineStr">
        <x:is>
          <x:t xml:space="preserve">P2</x:t>
        </x:is>
      </x:c>
      <x:c r="L123" s="15" t="inlineStr">
        <x:is>
          <x:t xml:space="preserve">Not Started</x:t>
        </x:is>
      </x:c>
      <x:c r="M123" s="16" t="n">
        <x:v>2</x:v>
      </x:c>
      <x:c r="N123" s="13" t="n">
        <x:v>2</x:v>
      </x:c>
      <x:c r="O123" s="13" t="n">
        <x:v>13</x:v>
      </x:c>
      <x:c r="P123" s="13">
        <x:f>O123+ROUNDUP(N123/Inputs!$B$4,0)-1</x:f>
      </x:c>
      <x:c r="Q123" s="17">
        <x:f>Inputs!$B$3+(O123-1)*Inputs!$B$4</x:f>
      </x:c>
      <x:c r="R123" s="17">
        <x:f>Q123+N123-1</x:f>
      </x:c>
      <x:c r="S123" s="9" t="inlineStr">
        <x:is>
          <x:t xml:space="preserve">SOP-01</x:t>
        </x:is>
      </x:c>
      <x:c r="T123" s="15" t="inlineStr">
        <x:is>
          <x:t xml:space="preserve">N</x:t>
        </x:is>
      </x:c>
      <x:c r="U123" s="14" t="inlineStr">
        <x:is>
          <x:t xml:space="preserve"/>
        </x:is>
      </x:c>
    </x:row>
    <x:row r="124" ht="42" customHeight="1">
      <x:c r="A124" s="9" t="inlineStr">
        <x:is>
          <x:t xml:space="preserve">SOP-18</x:t>
        </x:is>
      </x:c>
      <x:c r="B124" s="9" t="inlineStr">
        <x:is>
          <x:t xml:space="preserve">Procedure</x:t>
        </x:is>
      </x:c>
      <x:c r="C124" s="9" t="inlineStr">
        <x:is>
          <x:t xml:space="preserve">Operations</x:t>
        </x:is>
      </x:c>
      <x:c r="D124" s="13" t="n">
        <x:v>5</x:v>
      </x:c>
      <x:c r="E124" s="9" t="inlineStr">
        <x:is>
          <x:t xml:space="preserve">SOP</x:t>
        </x:is>
      </x:c>
      <x:c r="F124" s="9" t="inlineStr">
        <x:is>
          <x:t xml:space="preserve">SOP: Source decommission</x:t>
        </x:is>
      </x:c>
      <x:c r="G124" s="14" t="inlineStr">
        <x:is>
          <x:t xml:space="preserve">How to disable pipelines, archive configs, set retention, notify stakeholders, and update registry.</x:t>
        </x:is>
      </x:c>
      <x:c r="H124" s="14" t="inlineStr">
        <x:is>
          <x:t xml:space="preserve">Decommission SOP</x:t>
        </x:is>
      </x:c>
      <x:c r="I124" s="9" t="inlineStr">
        <x:is>
          <x:t xml:space="preserve">Data Engineer</x:t>
        </x:is>
      </x:c>
      <x:c r="J124" s="15" t="inlineStr">
        <x:is>
          <x:t xml:space="preserve">R</x:t>
        </x:is>
      </x:c>
      <x:c r="K124" s="15" t="inlineStr">
        <x:is>
          <x:t xml:space="preserve">P3</x:t>
        </x:is>
      </x:c>
      <x:c r="L124" s="15" t="inlineStr">
        <x:is>
          <x:t xml:space="preserve">Not Started</x:t>
        </x:is>
      </x:c>
      <x:c r="M124" s="16" t="n">
        <x:v>2</x:v>
      </x:c>
      <x:c r="N124" s="13" t="n">
        <x:v>2</x:v>
      </x:c>
      <x:c r="O124" s="13" t="n">
        <x:v>15</x:v>
      </x:c>
      <x:c r="P124" s="13">
        <x:f>O124+ROUNDUP(N124/Inputs!$B$4,0)-1</x:f>
      </x:c>
      <x:c r="Q124" s="17">
        <x:f>Inputs!$B$3+(O124-1)*Inputs!$B$4</x:f>
      </x:c>
      <x:c r="R124" s="17">
        <x:f>Q124+N124-1</x:f>
      </x:c>
      <x:c r="S124" s="9" t="inlineStr">
        <x:is>
          <x:t xml:space="preserve">PRC-12</x:t>
        </x:is>
      </x:c>
      <x:c r="T124" s="15" t="inlineStr">
        <x:is>
          <x:t xml:space="preserve">N</x:t>
        </x:is>
      </x:c>
      <x:c r="U124" s="14" t="inlineStr">
        <x:is>
          <x:t xml:space="preserve"/>
        </x:is>
      </x:c>
    </x:row>
    <x:row r="125" ht="42" customHeight="1">
      <x:c r="A125" s="9" t="inlineStr">
        <x:is>
          <x:t xml:space="preserve">SOP-16</x:t>
        </x:is>
      </x:c>
      <x:c r="B125" s="9" t="inlineStr">
        <x:is>
          <x:t xml:space="preserve">Procedure</x:t>
        </x:is>
      </x:c>
      <x:c r="C125" s="9" t="inlineStr">
        <x:is>
          <x:t xml:space="preserve">Operations</x:t>
        </x:is>
      </x:c>
      <x:c r="D125" s="13" t="n">
        <x:v>6</x:v>
      </x:c>
      <x:c r="E125" s="9" t="inlineStr">
        <x:is>
          <x:t xml:space="preserve">SOP</x:t>
        </x:is>
      </x:c>
      <x:c r="F125" s="9" t="inlineStr">
        <x:is>
          <x:t xml:space="preserve">SOP: ORR execution and signoff</x:t>
        </x:is>
      </x:c>
      <x:c r="G125" s="14" t="inlineStr">
        <x:is>
          <x:t xml:space="preserve">Step-by-step to run ORR checklist, gather evidence, and secure signoffs.</x:t>
        </x:is>
      </x:c>
      <x:c r="H125" s="14" t="inlineStr">
        <x:is>
          <x:t xml:space="preserve">ORR SOP</x:t>
        </x:is>
      </x:c>
      <x:c r="I125" s="9" t="inlineStr">
        <x:is>
          <x:t xml:space="preserve">SRE/Operations</x:t>
        </x:is>
      </x:c>
      <x:c r="J125" s="15" t="inlineStr">
        <x:is>
          <x:t xml:space="preserve">R</x:t>
        </x:is>
      </x:c>
      <x:c r="K125" s="15" t="inlineStr">
        <x:is>
          <x:t xml:space="preserve">P0</x:t>
        </x:is>
      </x:c>
      <x:c r="L125" s="15" t="inlineStr">
        <x:is>
          <x:t xml:space="preserve">Not Started</x:t>
        </x:is>
      </x:c>
      <x:c r="M125" s="16" t="n">
        <x:v>2</x:v>
      </x:c>
      <x:c r="N125" s="13" t="n">
        <x:v>2</x:v>
      </x:c>
      <x:c r="O125" s="13" t="n">
        <x:v>12</x:v>
      </x:c>
      <x:c r="P125" s="13">
        <x:f>O125+ROUNDUP(N125/Inputs!$B$4,0)-1</x:f>
      </x:c>
      <x:c r="Q125" s="17">
        <x:f>Inputs!$B$3+(O125-1)*Inputs!$B$4</x:f>
      </x:c>
      <x:c r="R125" s="17">
        <x:f>Q125+N125-1</x:f>
      </x:c>
      <x:c r="S125" s="9" t="inlineStr">
        <x:is>
          <x:t xml:space="preserve">PRC-10</x:t>
        </x:is>
      </x:c>
      <x:c r="T125" s="15" t="inlineStr">
        <x:is>
          <x:t xml:space="preserve">N</x:t>
        </x:is>
      </x:c>
      <x:c r="U125" s="14" t="inlineStr">
        <x:is>
          <x:t xml:space="preserve"/>
        </x:is>
      </x:c>
    </x:row>
    <x:row r="126" ht="42" customHeight="1">
      <x:c r="A126" s="9" t="inlineStr">
        <x:is>
          <x:t xml:space="preserve">SOP-17</x:t>
        </x:is>
      </x:c>
      <x:c r="B126" s="9" t="inlineStr">
        <x:is>
          <x:t xml:space="preserve">Procedure</x:t>
        </x:is>
      </x:c>
      <x:c r="C126" s="9" t="inlineStr">
        <x:is>
          <x:t xml:space="preserve">Operations</x:t>
        </x:is>
      </x:c>
      <x:c r="D126" s="13" t="n">
        <x:v>6</x:v>
      </x:c>
      <x:c r="E126" s="9" t="inlineStr">
        <x:is>
          <x:t xml:space="preserve">SOP</x:t>
        </x:is>
      </x:c>
      <x:c r="F126" s="9" t="inlineStr">
        <x:is>
          <x:t xml:space="preserve">SOP: Post-incident review (PIR) / postmortem</x:t>
        </x:is>
      </x:c>
      <x:c r="G126" s="14" t="inlineStr">
        <x:is>
          <x:t xml:space="preserve">How to conduct PIRs, write report, track action items and update runbooks/policies.</x:t>
        </x:is>
      </x:c>
      <x:c r="H126" s="14" t="inlineStr">
        <x:is>
          <x:t xml:space="preserve">PIR template + SOP</x:t>
        </x:is>
      </x:c>
      <x:c r="I126" s="9" t="inlineStr">
        <x:is>
          <x:t xml:space="preserve">SRE/Operations</x:t>
        </x:is>
      </x:c>
      <x:c r="J126" s="15" t="inlineStr">
        <x:is>
          <x:t xml:space="preserve">R</x:t>
        </x:is>
      </x:c>
      <x:c r="K126" s="15" t="inlineStr">
        <x:is>
          <x:t xml:space="preserve">P1</x:t>
        </x:is>
      </x:c>
      <x:c r="L126" s="15" t="inlineStr">
        <x:is>
          <x:t xml:space="preserve">Not Started</x:t>
        </x:is>
      </x:c>
      <x:c r="M126" s="16" t="n">
        <x:v>2</x:v>
      </x:c>
      <x:c r="N126" s="13" t="n">
        <x:v>2</x:v>
      </x:c>
      <x:c r="O126" s="13" t="n">
        <x:v>12</x:v>
      </x:c>
      <x:c r="P126" s="13">
        <x:f>O126+ROUNDUP(N126/Inputs!$B$4,0)-1</x:f>
      </x:c>
      <x:c r="Q126" s="17">
        <x:f>Inputs!$B$3+(O126-1)*Inputs!$B$4</x:f>
      </x:c>
      <x:c r="R126" s="17">
        <x:f>Q126+N126-1</x:f>
      </x:c>
      <x:c r="S126" s="9" t="inlineStr">
        <x:is>
          <x:t xml:space="preserve">PRC-02</x:t>
        </x:is>
      </x:c>
      <x:c r="T126" s="15" t="inlineStr">
        <x:is>
          <x:t xml:space="preserve">N</x:t>
        </x:is>
      </x:c>
      <x:c r="U126" s="14" t="inlineStr">
        <x:is>
          <x:t xml:space="preserve"/>
        </x:is>
      </x:c>
    </x:row>
    <x:row r="127" ht="42" customHeight="1">
      <x:c r="A127" s="9" t="inlineStr">
        <x:is>
          <x:t xml:space="preserve">PRC-01</x:t>
        </x:is>
      </x:c>
      <x:c r="B127" s="9" t="inlineStr">
        <x:is>
          <x:t xml:space="preserve">Process</x:t>
        </x:is>
      </x:c>
      <x:c r="C127" s="9" t="inlineStr">
        <x:is>
          <x:t xml:space="preserve">Governance</x:t>
        </x:is>
      </x:c>
      <x:c r="D127" s="13" t="n">
        <x:v>0</x:v>
      </x:c>
      <x:c r="E127" s="9" t="inlineStr">
        <x:is>
          <x:t xml:space="preserve">Program Governance</x:t>
        </x:is>
      </x:c>
      <x:c r="F127" s="9" t="inlineStr">
        <x:is>
          <x:t xml:space="preserve">Establish RACI &amp; operating model</x:t>
        </x:is>
      </x:c>
      <x:c r="G127" s="14" t="inlineStr">
        <x:is>
          <x:t xml:space="preserve">Define responsibilities for platform vs domain teams: onboarding, incident response, releases, data ownership.</x:t>
        </x:is>
      </x:c>
      <x:c r="H127" s="14" t="inlineStr">
        <x:is>
          <x:t xml:space="preserve">RACI matrix + operating model</x:t>
        </x:is>
      </x:c>
      <x:c r="I127" s="9" t="inlineStr">
        <x:is>
          <x:t xml:space="preserve">Product Owner</x:t>
        </x:is>
      </x:c>
      <x:c r="J127" s="15" t="inlineStr">
        <x:is>
          <x:t xml:space="preserve">A</x:t>
        </x:is>
      </x:c>
      <x:c r="K127" s="15" t="inlineStr">
        <x:is>
          <x:t xml:space="preserve">P1</x:t>
        </x:is>
      </x:c>
      <x:c r="L127" s="15" t="inlineStr">
        <x:is>
          <x:t xml:space="preserve">Not Started</x:t>
        </x:is>
      </x:c>
      <x:c r="M127" s="16" t="n">
        <x:v>3</x:v>
      </x:c>
      <x:c r="N127" s="13" t="n">
        <x:v>3</x:v>
      </x:c>
      <x:c r="O127" s="13" t="n">
        <x:v>1</x:v>
      </x:c>
      <x:c r="P127" s="13">
        <x:f>O127+ROUNDUP(N127/Inputs!$B$4,0)-1</x:f>
      </x:c>
      <x:c r="Q127" s="17">
        <x:f>Inputs!$B$3+(O127-1)*Inputs!$B$4</x:f>
      </x:c>
      <x:c r="R127" s="17">
        <x:f>Q127+N127-1</x:f>
      </x:c>
      <x:c r="S127" s="9" t="inlineStr">
        <x:is>
          <x:t xml:space="preserve">PLY-01</x:t>
        </x:is>
      </x:c>
      <x:c r="T127" s="15" t="inlineStr">
        <x:is>
          <x:t xml:space="preserve">N</x:t>
        </x:is>
      </x:c>
      <x:c r="U127" s="14" t="inlineStr">
        <x:is>
          <x:t xml:space="preserve"/>
        </x:is>
      </x:c>
    </x:row>
    <x:row r="128" ht="42" customHeight="1">
      <x:c r="A128" s="9" t="inlineStr">
        <x:is>
          <x:t xml:space="preserve">PRC-15</x:t>
        </x:is>
      </x:c>
      <x:c r="B128" s="9" t="inlineStr">
        <x:is>
          <x:t xml:space="preserve">Process</x:t>
        </x:is>
      </x:c>
      <x:c r="C128" s="9" t="inlineStr">
        <x:is>
          <x:t xml:space="preserve">Governance</x:t>
        </x:is>
      </x:c>
      <x:c r="D128" s="13" t="n">
        <x:v>0</x:v>
      </x:c>
      <x:c r="E128" s="9" t="inlineStr">
        <x:is>
          <x:t xml:space="preserve">Planning</x:t>
        </x:is>
      </x:c>
      <x:c r="F128" s="9" t="inlineStr">
        <x:is>
          <x:t xml:space="preserve">API source tiering and onboarding wave planning</x:t>
        </x:is>
      </x:c>
      <x:c r="G128" s="14" t="inlineStr">
        <x:is>
          <x:t xml:space="preserve">Segment sources by criticality/complexity; plan waves and capacity model.</x:t>
        </x:is>
      </x:c>
      <x:c r="H128" s="14" t="inlineStr">
        <x:is>
          <x:t xml:space="preserve">Tiering + onboarding waves plan</x:t>
        </x:is>
      </x:c>
      <x:c r="I128" s="9" t="inlineStr">
        <x:is>
          <x:t xml:space="preserve">Data Platform Architect</x:t>
        </x:is>
      </x:c>
      <x:c r="J128" s="15" t="inlineStr">
        <x:is>
          <x:t xml:space="preserve">A</x:t>
        </x:is>
      </x:c>
      <x:c r="K128" s="15" t="inlineStr">
        <x:is>
          <x:t xml:space="preserve">P1</x:t>
        </x:is>
      </x:c>
      <x:c r="L128" s="15" t="inlineStr">
        <x:is>
          <x:t xml:space="preserve">Not Started</x:t>
        </x:is>
      </x:c>
      <x:c r="M128" s="16" t="n">
        <x:v>4</x:v>
      </x:c>
      <x:c r="N128" s="13" t="n">
        <x:v>4</x:v>
      </x:c>
      <x:c r="O128" s="13" t="n">
        <x:v>2</x:v>
      </x:c>
      <x:c r="P128" s="13">
        <x:f>O128+ROUNDUP(N128/Inputs!$B$4,0)-1</x:f>
      </x:c>
      <x:c r="Q128" s="17">
        <x:f>Inputs!$B$3+(O128-1)*Inputs!$B$4</x:f>
      </x:c>
      <x:c r="R128" s="17">
        <x:f>Q128+N128-1</x:f>
      </x:c>
      <x:c r="S128" s="9" t="inlineStr">
        <x:is>
          <x:t xml:space="preserve">PLY-01</x:t>
        </x:is>
      </x:c>
      <x:c r="T128" s="15" t="inlineStr">
        <x:is>
          <x:t xml:space="preserve">N</x:t>
        </x:is>
      </x:c>
      <x:c r="U128" s="14" t="inlineStr">
        <x:is>
          <x:t xml:space="preserve"/>
        </x:is>
      </x:c>
    </x:row>
    <x:row r="129" ht="42" customHeight="1">
      <x:c r="A129" s="9" t="inlineStr">
        <x:is>
          <x:t xml:space="preserve">PRC-13</x:t>
        </x:is>
      </x:c>
      <x:c r="B129" s="9" t="inlineStr">
        <x:is>
          <x:t xml:space="preserve">Process</x:t>
        </x:is>
      </x:c>
      <x:c r="C129" s="9" t="inlineStr">
        <x:is>
          <x:t xml:space="preserve">DevSecOps</x:t>
        </x:is>
      </x:c>
      <x:c r="D129" s="13" t="n">
        <x:v>2</x:v>
      </x:c>
      <x:c r="E129" s="9" t="inlineStr">
        <x:is>
          <x:t xml:space="preserve">Config Management</x:t>
        </x:is>
      </x:c>
      <x:c r="F129" s="9" t="inlineStr">
        <x:is>
          <x:t xml:space="preserve">Config lifecycle process (Git→validate→publish)</x:t>
        </x:is>
      </x:c>
      <x:c r="G129" s="14" t="inlineStr">
        <x:is>
          <x:t xml:space="preserve">Define how source configs are authored, validated, versioned, and published to registry tables.</x:t>
        </x:is>
      </x:c>
      <x:c r="H129" s="14" t="inlineStr">
        <x:is>
          <x:t xml:space="preserve">Config lifecycle process</x:t>
        </x:is>
      </x:c>
      <x:c r="I129" s="9" t="inlineStr">
        <x:is>
          <x:t xml:space="preserve">DevOps/Platform Eng</x:t>
        </x:is>
      </x:c>
      <x:c r="J129" s="15" t="inlineStr">
        <x:is>
          <x:t xml:space="preserve">A</x:t>
        </x:is>
      </x:c>
      <x:c r="K129" s="15" t="inlineStr">
        <x:is>
          <x:t xml:space="preserve">P1</x:t>
        </x:is>
      </x:c>
      <x:c r="L129" s="15" t="inlineStr">
        <x:is>
          <x:t xml:space="preserve">Not Started</x:t>
        </x:is>
      </x:c>
      <x:c r="M129" s="16" t="n">
        <x:v>4</x:v>
      </x:c>
      <x:c r="N129" s="13" t="n">
        <x:v>4</x:v>
      </x:c>
      <x:c r="O129" s="13" t="n">
        <x:v>4</x:v>
      </x:c>
      <x:c r="P129" s="13">
        <x:f>O129+ROUNDUP(N129/Inputs!$B$4,0)-1</x:f>
      </x:c>
      <x:c r="Q129" s="17">
        <x:f>Inputs!$B$3+(O129-1)*Inputs!$B$4</x:f>
      </x:c>
      <x:c r="R129" s="17">
        <x:f>Q129+N129-1</x:f>
      </x:c>
      <x:c r="S129" s="9" t="inlineStr">
        <x:is>
          <x:t xml:space="preserve">PLY-08</x:t>
        </x:is>
      </x:c>
      <x:c r="T129" s="15" t="inlineStr">
        <x:is>
          <x:t xml:space="preserve">N</x:t>
        </x:is>
      </x:c>
      <x:c r="U129" s="14" t="inlineStr">
        <x:is>
          <x:t xml:space="preserve"/>
        </x:is>
      </x:c>
    </x:row>
    <x:row r="130" ht="42" customHeight="1">
      <x:c r="A130" s="9" t="inlineStr">
        <x:is>
          <x:t xml:space="preserve">PRC-04</x:t>
        </x:is>
      </x:c>
      <x:c r="B130" s="9" t="inlineStr">
        <x:is>
          <x:t xml:space="preserve">Process</x:t>
        </x:is>
      </x:c>
      <x:c r="C130" s="9" t="inlineStr">
        <x:is>
          <x:t xml:space="preserve">Security</x:t>
        </x:is>
      </x:c>
      <x:c r="D130" s="13" t="n">
        <x:v>2</x:v>
      </x:c>
      <x:c r="E130" s="9" t="inlineStr">
        <x:is>
          <x:t xml:space="preserve">Credential Rotation</x:t>
        </x:is>
      </x:c>
      <x:c r="F130" s="9" t="inlineStr">
        <x:is>
          <x:t xml:space="preserve">Credential rotation workflow</x:t>
        </x:is>
      </x:c>
      <x:c r="G130" s="14" t="inlineStr">
        <x:is>
          <x:t xml:space="preserve">Define rotation steps across vault, Databricks scopes, smoke tests, rollback, evidence capture.</x:t>
        </x:is>
      </x:c>
      <x:c r="H130" s="14" t="inlineStr">
        <x:is>
          <x:t xml:space="preserve">Rotation process flow</x:t>
        </x:is>
      </x:c>
      <x:c r="I130" s="9" t="inlineStr">
        <x:is>
          <x:t xml:space="preserve">Security/Identity Eng</x:t>
        </x:is>
      </x:c>
      <x:c r="J130" s="15" t="inlineStr">
        <x:is>
          <x:t xml:space="preserve">A</x:t>
        </x:is>
      </x:c>
      <x:c r="K130" s="15" t="inlineStr">
        <x:is>
          <x:t xml:space="preserve">P0</x:t>
        </x:is>
      </x:c>
      <x:c r="L130" s="15" t="inlineStr">
        <x:is>
          <x:t xml:space="preserve">Not Started</x:t>
        </x:is>
      </x:c>
      <x:c r="M130" s="16" t="n">
        <x:v>3</x:v>
      </x:c>
      <x:c r="N130" s="13" t="n">
        <x:v>3</x:v>
      </x:c>
      <x:c r="O130" s="13" t="n">
        <x:v>6</x:v>
      </x:c>
      <x:c r="P130" s="13">
        <x:f>O130+ROUNDUP(N130/Inputs!$B$4,0)-1</x:f>
      </x:c>
      <x:c r="Q130" s="17">
        <x:f>Inputs!$B$3+(O130-1)*Inputs!$B$4</x:f>
      </x:c>
      <x:c r="R130" s="17">
        <x:f>Q130+N130-1</x:f>
      </x:c>
      <x:c r="S130" s="9" t="inlineStr">
        <x:is>
          <x:t xml:space="preserve">PLY-04</x:t>
        </x:is>
      </x:c>
      <x:c r="T130" s="15" t="inlineStr">
        <x:is>
          <x:t xml:space="preserve">N</x:t>
        </x:is>
      </x:c>
      <x:c r="U130" s="14" t="inlineStr">
        <x:is>
          <x:t xml:space="preserve"/>
        </x:is>
      </x:c>
    </x:row>
    <x:row r="131" ht="42" customHeight="1">
      <x:c r="A131" s="9" t="inlineStr">
        <x:is>
          <x:t xml:space="preserve">PRC-05</x:t>
        </x:is>
      </x:c>
      <x:c r="B131" s="9" t="inlineStr">
        <x:is>
          <x:t xml:space="preserve">Process</x:t>
        </x:is>
      </x:c>
      <x:c r="C131" s="9" t="inlineStr">
        <x:is>
          <x:t xml:space="preserve">DevSecOps</x:t>
        </x:is>
      </x:c>
      <x:c r="D131" s="13" t="n">
        <x:v>2</x:v>
      </x:c>
      <x:c r="E131" s="9" t="inlineStr">
        <x:is>
          <x:t xml:space="preserve">Release Management</x:t>
        </x:is>
      </x:c>
      <x:c r="F131" s="9" t="inlineStr">
        <x:is>
          <x:t xml:space="preserve">Promotion workflow (Dev→Stage→Prod)</x:t>
        </x:is>
      </x:c>
      <x:c r="G131" s="14" t="inlineStr">
        <x:is>
          <x:t xml:space="preserve">Define CI/CD stages, approvals, automated checks, deployment verification and rollback.</x:t>
        </x:is>
      </x:c>
      <x:c r="H131" s="14" t="inlineStr">
        <x:is>
          <x:t xml:space="preserve">Release promotion workflow</x:t>
        </x:is>
      </x:c>
      <x:c r="I131" s="9" t="inlineStr">
        <x:is>
          <x:t xml:space="preserve">Release Manager</x:t>
        </x:is>
      </x:c>
      <x:c r="J131" s="15" t="inlineStr">
        <x:is>
          <x:t xml:space="preserve">A</x:t>
        </x:is>
      </x:c>
      <x:c r="K131" s="15" t="inlineStr">
        <x:is>
          <x:t xml:space="preserve">P0</x:t>
        </x:is>
      </x:c>
      <x:c r="L131" s="15" t="inlineStr">
        <x:is>
          <x:t xml:space="preserve">Not Started</x:t>
        </x:is>
      </x:c>
      <x:c r="M131" s="16" t="n">
        <x:v>4</x:v>
      </x:c>
      <x:c r="N131" s="13" t="n">
        <x:v>4</x:v>
      </x:c>
      <x:c r="O131" s="13" t="n">
        <x:v>6</x:v>
      </x:c>
      <x:c r="P131" s="13">
        <x:f>O131+ROUNDUP(N131/Inputs!$B$4,0)-1</x:f>
      </x:c>
      <x:c r="Q131" s="17">
        <x:f>Inputs!$B$3+(O131-1)*Inputs!$B$4</x:f>
      </x:c>
      <x:c r="R131" s="17">
        <x:f>Q131+N131-1</x:f>
      </x:c>
      <x:c r="S131" s="9" t="inlineStr">
        <x:is>
          <x:t xml:space="preserve">PLY-07</x:t>
        </x:is>
      </x:c>
      <x:c r="T131" s="15" t="inlineStr">
        <x:is>
          <x:t xml:space="preserve">N</x:t>
        </x:is>
      </x:c>
      <x:c r="U131" s="14" t="inlineStr">
        <x:is>
          <x:t xml:space="preserve"/>
        </x:is>
      </x:c>
    </x:row>
    <x:row r="132" ht="42" customHeight="1">
      <x:c r="A132" s="9" t="inlineStr">
        <x:is>
          <x:t xml:space="preserve">PRC-02</x:t>
        </x:is>
      </x:c>
      <x:c r="B132" s="9" t="inlineStr">
        <x:is>
          <x:t xml:space="preserve">Process</x:t>
        </x:is>
      </x:c>
      <x:c r="C132" s="9" t="inlineStr">
        <x:is>
          <x:t xml:space="preserve">Operations</x:t>
        </x:is>
      </x:c>
      <x:c r="D132" s="13" t="n">
        <x:v>3</x:v>
      </x:c>
      <x:c r="E132" s="9" t="inlineStr">
        <x:is>
          <x:t xml:space="preserve">Incident Management</x:t>
        </x:is>
      </x:c>
      <x:c r="F132" s="9" t="inlineStr">
        <x:is>
          <x:t xml:space="preserve">Incident triage workflow</x:t>
        </x:is>
      </x:c>
      <x:c r="G132" s="14" t="inlineStr">
        <x:is>
          <x:t xml:space="preserve">Define triage steps, ticket creation, severity assignment, communication, escalation and closure.</x:t>
        </x:is>
      </x:c>
      <x:c r="H132" s="14" t="inlineStr">
        <x:is>
          <x:t xml:space="preserve">Incident triage process flow</x:t>
        </x:is>
      </x:c>
      <x:c r="I132" s="9" t="inlineStr">
        <x:is>
          <x:t xml:space="preserve">SRE/Operations</x:t>
        </x:is>
      </x:c>
      <x:c r="J132" s="15" t="inlineStr">
        <x:is>
          <x:t xml:space="preserve">A</x:t>
        </x:is>
      </x:c>
      <x:c r="K132" s="15" t="inlineStr">
        <x:is>
          <x:t xml:space="preserve">P0</x:t>
        </x:is>
      </x:c>
      <x:c r="L132" s="15" t="inlineStr">
        <x:is>
          <x:t xml:space="preserve">Not Started</x:t>
        </x:is>
      </x:c>
      <x:c r="M132" s="16" t="n">
        <x:v>3</x:v>
      </x:c>
      <x:c r="N132" s="13" t="n">
        <x:v>3</x:v>
      </x:c>
      <x:c r="O132" s="13" t="n">
        <x:v>5</x:v>
      </x:c>
      <x:c r="P132" s="13">
        <x:f>O132+ROUNDUP(N132/Inputs!$B$4,0)-1</x:f>
      </x:c>
      <x:c r="Q132" s="17">
        <x:f>Inputs!$B$3+(O132-1)*Inputs!$B$4</x:f>
      </x:c>
      <x:c r="R132" s="17">
        <x:f>Q132+N132-1</x:f>
      </x:c>
      <x:c r="S132" s="9" t="inlineStr">
        <x:is>
          <x:t xml:space="preserve">PLY-02</x:t>
        </x:is>
      </x:c>
      <x:c r="T132" s="15" t="inlineStr">
        <x:is>
          <x:t xml:space="preserve">N</x:t>
        </x:is>
      </x:c>
      <x:c r="U132" s="14" t="inlineStr">
        <x:is>
          <x:t xml:space="preserve"/>
        </x:is>
      </x:c>
    </x:row>
    <x:row r="133" ht="42" customHeight="1">
      <x:c r="A133" s="9" t="inlineStr">
        <x:is>
          <x:t xml:space="preserve">PRC-03</x:t>
        </x:is>
      </x:c>
      <x:c r="B133" s="9" t="inlineStr">
        <x:is>
          <x:t xml:space="preserve">Process</x:t>
        </x:is>
      </x:c>
      <x:c r="C133" s="9" t="inlineStr">
        <x:is>
          <x:t xml:space="preserve">Operations</x:t>
        </x:is>
      </x:c>
      <x:c r="D133" s="13" t="n">
        <x:v>3</x:v>
      </x:c>
      <x:c r="E133" s="9" t="inlineStr">
        <x:is>
          <x:t xml:space="preserve">Alerting</x:t>
        </x:is>
      </x:c>
      <x:c r="F133" s="9" t="inlineStr">
        <x:is>
          <x:t xml:space="preserve">Alert intake &amp; response workflow</x:t>
        </x:is>
      </x:c>
      <x:c r="G133" s="14" t="inlineStr">
        <x:is>
          <x:t xml:space="preserve">Define who gets alerted, how to acknowledge, response time targets, and handoff to domain owners.</x:t>
        </x:is>
      </x:c>
      <x:c r="H133" s="14" t="inlineStr">
        <x:is>
          <x:t xml:space="preserve">Alert response workflow</x:t>
        </x:is>
      </x:c>
      <x:c r="I133" s="9" t="inlineStr">
        <x:is>
          <x:t xml:space="preserve">SRE/Operations</x:t>
        </x:is>
      </x:c>
      <x:c r="J133" s="15" t="inlineStr">
        <x:is>
          <x:t xml:space="preserve">A</x:t>
        </x:is>
      </x:c>
      <x:c r="K133" s="15" t="inlineStr">
        <x:is>
          <x:t xml:space="preserve">P0</x:t>
        </x:is>
      </x:c>
      <x:c r="L133" s="15" t="inlineStr">
        <x:is>
          <x:t xml:space="preserve">Not Started</x:t>
        </x:is>
      </x:c>
      <x:c r="M133" s="16" t="n">
        <x:v>3</x:v>
      </x:c>
      <x:c r="N133" s="13" t="n">
        <x:v>3</x:v>
      </x:c>
      <x:c r="O133" s="13" t="n">
        <x:v>5</x:v>
      </x:c>
      <x:c r="P133" s="13">
        <x:f>O133+ROUNDUP(N133/Inputs!$B$4,0)-1</x:f>
      </x:c>
      <x:c r="Q133" s="17">
        <x:f>Inputs!$B$3+(O133-1)*Inputs!$B$4</x:f>
      </x:c>
      <x:c r="R133" s="17">
        <x:f>Q133+N133-1</x:f>
      </x:c>
      <x:c r="S133" s="9" t="inlineStr">
        <x:is>
          <x:t xml:space="preserve">PLY-09,PRC-02</x:t>
        </x:is>
      </x:c>
      <x:c r="T133" s="15" t="inlineStr">
        <x:is>
          <x:t xml:space="preserve">N</x:t>
        </x:is>
      </x:c>
      <x:c r="U133" s="14" t="inlineStr">
        <x:is>
          <x:t xml:space="preserve"/>
        </x:is>
      </x:c>
    </x:row>
    <x:row r="134" ht="42" customHeight="1">
      <x:c r="A134" s="9" t="inlineStr">
        <x:is>
          <x:t xml:space="preserve">PRC-14</x:t>
        </x:is>
      </x:c>
      <x:c r="B134" s="9" t="inlineStr">
        <x:is>
          <x:t xml:space="preserve">Process</x:t>
        </x:is>
      </x:c>
      <x:c r="C134" s="9" t="inlineStr">
        <x:is>
          <x:t xml:space="preserve">Operations</x:t>
        </x:is>
      </x:c>
      <x:c r="D134" s="13" t="n">
        <x:v>3</x:v>
      </x:c>
      <x:c r="E134" s="9" t="inlineStr">
        <x:is>
          <x:t xml:space="preserve">Communications</x:t>
        </x:is>
      </x:c>
      <x:c r="F134" s="9" t="inlineStr">
        <x:is>
          <x:t xml:space="preserve">Status communications &amp; stakeholder updates process</x:t>
        </x:is>
      </x:c>
      <x:c r="G134" s="14" t="inlineStr">
        <x:is>
          <x:t xml:space="preserve">Define comms channels, frequency, templates for incidents and planned changes.</x:t>
        </x:is>
      </x:c>
      <x:c r="H134" s="14" t="inlineStr">
        <x:is>
          <x:t xml:space="preserve">Comms process + templates</x:t>
        </x:is>
      </x:c>
      <x:c r="I134" s="9" t="inlineStr">
        <x:is>
          <x:t xml:space="preserve">Product Owner</x:t>
        </x:is>
      </x:c>
      <x:c r="J134" s="15" t="inlineStr">
        <x:is>
          <x:t xml:space="preserve">A</x:t>
        </x:is>
      </x:c>
      <x:c r="K134" s="15" t="inlineStr">
        <x:is>
          <x:t xml:space="preserve">P2</x:t>
        </x:is>
      </x:c>
      <x:c r="L134" s="15" t="inlineStr">
        <x:is>
          <x:t xml:space="preserve">Not Started</x:t>
        </x:is>
      </x:c>
      <x:c r="M134" s="16" t="n">
        <x:v>2</x:v>
      </x:c>
      <x:c r="N134" s="13" t="n">
        <x:v>2</x:v>
      </x:c>
      <x:c r="O134" s="13" t="n">
        <x:v>8</x:v>
      </x:c>
      <x:c r="P134" s="13">
        <x:f>O134+ROUNDUP(N134/Inputs!$B$4,0)-1</x:f>
      </x:c>
      <x:c r="Q134" s="17">
        <x:f>Inputs!$B$3+(O134-1)*Inputs!$B$4</x:f>
      </x:c>
      <x:c r="R134" s="17">
        <x:f>Q134+N134-1</x:f>
      </x:c>
      <x:c r="S134" s="9" t="inlineStr">
        <x:is>
          <x:t xml:space="preserve">PRC-02</x:t>
        </x:is>
      </x:c>
      <x:c r="T134" s="15" t="inlineStr">
        <x:is>
          <x:t xml:space="preserve">N</x:t>
        </x:is>
      </x:c>
      <x:c r="U134" s="14" t="inlineStr">
        <x:is>
          <x:t xml:space="preserve"/>
        </x:is>
      </x:c>
    </x:row>
    <x:row r="135" ht="42" customHeight="1">
      <x:c r="A135" s="9" t="inlineStr">
        <x:is>
          <x:t xml:space="preserve">PRC-06</x:t>
        </x:is>
      </x:c>
      <x:c r="B135" s="9" t="inlineStr">
        <x:is>
          <x:t xml:space="preserve">Process</x:t>
        </x:is>
      </x:c>
      <x:c r="C135" s="9" t="inlineStr">
        <x:is>
          <x:t xml:space="preserve">Governance</x:t>
        </x:is>
      </x:c>
      <x:c r="D135" s="13" t="n">
        <x:v>4</x:v>
      </x:c>
      <x:c r="E135" s="9" t="inlineStr">
        <x:is>
          <x:t xml:space="preserve">Source Onboarding</x:t>
        </x:is>
      </x:c>
      <x:c r="F135" s="9" t="inlineStr">
        <x:is>
          <x:t xml:space="preserve">Source onboarding end-to-end process</x:t>
        </x:is>
      </x:c>
      <x:c r="G135" s="14" t="inlineStr">
        <x:is>
          <x:t xml:space="preserve">Intake → validation → secrets provision → config publish → test → prod enablement → handover.</x:t>
        </x:is>
      </x:c>
      <x:c r="H135" s="14" t="inlineStr">
        <x:is>
          <x:t xml:space="preserve">Onboarding process + checklist</x:t>
        </x:is>
      </x:c>
      <x:c r="I135" s="9" t="inlineStr">
        <x:is>
          <x:t xml:space="preserve">Data Platform Architect</x:t>
        </x:is>
      </x:c>
      <x:c r="J135" s="15" t="inlineStr">
        <x:is>
          <x:t xml:space="preserve">A</x:t>
        </x:is>
      </x:c>
      <x:c r="K135" s="15" t="inlineStr">
        <x:is>
          <x:t xml:space="preserve">P1</x:t>
        </x:is>
      </x:c>
      <x:c r="L135" s="15" t="inlineStr">
        <x:is>
          <x:t xml:space="preserve">Not Started</x:t>
        </x:is>
      </x:c>
      <x:c r="M135" s="16" t="n">
        <x:v>5</x:v>
      </x:c>
      <x:c r="N135" s="13" t="n">
        <x:v>5</x:v>
      </x:c>
      <x:c r="O135" s="13" t="n">
        <x:v>7</x:v>
      </x:c>
      <x:c r="P135" s="13">
        <x:f>O135+ROUNDUP(N135/Inputs!$B$4,0)-1</x:f>
      </x:c>
      <x:c r="Q135" s="17">
        <x:f>Inputs!$B$3+(O135-1)*Inputs!$B$4</x:f>
      </x:c>
      <x:c r="R135" s="17">
        <x:f>Q135+N135-1</x:f>
      </x:c>
      <x:c r="S135" s="9" t="inlineStr">
        <x:is>
          <x:t xml:space="preserve">PLY-14,PRC-01</x:t>
        </x:is>
      </x:c>
      <x:c r="T135" s="15" t="inlineStr">
        <x:is>
          <x:t xml:space="preserve">N</x:t>
        </x:is>
      </x:c>
      <x:c r="U135" s="14" t="inlineStr">
        <x:is>
          <x:t xml:space="preserve"/>
        </x:is>
      </x:c>
    </x:row>
    <x:row r="136" ht="42" customHeight="1">
      <x:c r="A136" s="9" t="inlineStr">
        <x:is>
          <x:t xml:space="preserve">PRC-08</x:t>
        </x:is>
      </x:c>
      <x:c r="B136" s="9" t="inlineStr">
        <x:is>
          <x:t xml:space="preserve">Process</x:t>
        </x:is>
      </x:c>
      <x:c r="C136" s="9" t="inlineStr">
        <x:is>
          <x:t xml:space="preserve">Operations</x:t>
        </x:is>
      </x:c>
      <x:c r="D136" s="13" t="n">
        <x:v>4</x:v>
      </x:c>
      <x:c r="E136" s="9" t="inlineStr">
        <x:is>
          <x:t xml:space="preserve">Backfill</x:t>
        </x:is>
      </x:c>
      <x:c r="F136" s="9" t="inlineStr">
        <x:is>
          <x:t xml:space="preserve">Backfill request and execution process</x:t>
        </x:is>
      </x:c>
      <x:c r="G136" s="14" t="inlineStr">
        <x:is>
          <x:t xml:space="preserve">Define intake, approvals, compute planning, execution, validation and cost tracking for backfills.</x:t>
        </x:is>
      </x:c>
      <x:c r="H136" s="14" t="inlineStr">
        <x:is>
          <x:t xml:space="preserve">Backfill process</x:t>
        </x:is>
      </x:c>
      <x:c r="I136" s="9" t="inlineStr">
        <x:is>
          <x:t xml:space="preserve">Data Engineer</x:t>
        </x:is>
      </x:c>
      <x:c r="J136" s="15" t="inlineStr">
        <x:is>
          <x:t xml:space="preserve">R</x:t>
        </x:is>
      </x:c>
      <x:c r="K136" s="15" t="inlineStr">
        <x:is>
          <x:t xml:space="preserve">P2</x:t>
        </x:is>
      </x:c>
      <x:c r="L136" s="15" t="inlineStr">
        <x:is>
          <x:t xml:space="preserve">Not Started</x:t>
        </x:is>
      </x:c>
      <x:c r="M136" s="16" t="n">
        <x:v>3</x:v>
      </x:c>
      <x:c r="N136" s="13" t="n">
        <x:v>3</x:v>
      </x:c>
      <x:c r="O136" s="13" t="n">
        <x:v>9</x:v>
      </x:c>
      <x:c r="P136" s="13">
        <x:f>O136+ROUNDUP(N136/Inputs!$B$4,0)-1</x:f>
      </x:c>
      <x:c r="Q136" s="17">
        <x:f>Inputs!$B$3+(O136-1)*Inputs!$B$4</x:f>
      </x:c>
      <x:c r="R136" s="17">
        <x:f>Q136+N136-1</x:f>
      </x:c>
      <x:c r="S136" s="9" t="inlineStr">
        <x:is>
          <x:t xml:space="preserve">PLY-07,PRC-05</x:t>
        </x:is>
      </x:c>
      <x:c r="T136" s="15" t="inlineStr">
        <x:is>
          <x:t xml:space="preserve">N</x:t>
        </x:is>
      </x:c>
      <x:c r="U136" s="14" t="inlineStr">
        <x:is>
          <x:t xml:space="preserve"/>
        </x:is>
      </x:c>
    </x:row>
    <x:row r="137" ht="42" customHeight="1">
      <x:c r="A137" s="9" t="inlineStr">
        <x:is>
          <x:t xml:space="preserve">PRC-09</x:t>
        </x:is>
      </x:c>
      <x:c r="B137" s="9" t="inlineStr">
        <x:is>
          <x:t xml:space="preserve">Process</x:t>
        </x:is>
      </x:c>
      <x:c r="C137" s="9" t="inlineStr">
        <x:is>
          <x:t xml:space="preserve">Operations</x:t>
        </x:is>
      </x:c>
      <x:c r="D137" s="13" t="n">
        <x:v>4</x:v>
      </x:c>
      <x:c r="E137" s="9" t="inlineStr">
        <x:is>
          <x:t xml:space="preserve">Replay/DLQ</x:t>
        </x:is>
      </x:c>
      <x:c r="F137" s="9" t="inlineStr">
        <x:is>
          <x:t xml:space="preserve">DLQ reprocessing process</x:t>
        </x:is>
      </x:c>
      <x:c r="G137" s="14" t="inlineStr">
        <x:is>
          <x:t xml:space="preserve">Define criteria for reprocessing DLQ, approvals, replay execution, and verification steps.</x:t>
        </x:is>
      </x:c>
      <x:c r="H137" s="14" t="inlineStr">
        <x:is>
          <x:t xml:space="preserve">DLQ replay process</x:t>
        </x:is>
      </x:c>
      <x:c r="I137" s="9" t="inlineStr">
        <x:is>
          <x:t xml:space="preserve">SRE/Operations</x:t>
        </x:is>
      </x:c>
      <x:c r="J137" s="15" t="inlineStr">
        <x:is>
          <x:t xml:space="preserve">R</x:t>
        </x:is>
      </x:c>
      <x:c r="K137" s="15" t="inlineStr">
        <x:is>
          <x:t xml:space="preserve">P1</x:t>
        </x:is>
      </x:c>
      <x:c r="L137" s="15" t="inlineStr">
        <x:is>
          <x:t xml:space="preserve">Not Started</x:t>
        </x:is>
      </x:c>
      <x:c r="M137" s="16" t="n">
        <x:v>3</x:v>
      </x:c>
      <x:c r="N137" s="13" t="n">
        <x:v>3</x:v>
      </x:c>
      <x:c r="O137" s="13" t="n">
        <x:v>9</x:v>
      </x:c>
      <x:c r="P137" s="13">
        <x:f>O137+ROUNDUP(N137/Inputs!$B$4,0)-1</x:f>
      </x:c>
      <x:c r="Q137" s="17">
        <x:f>Inputs!$B$3+(O137-1)*Inputs!$B$4</x:f>
      </x:c>
      <x:c r="R137" s="17">
        <x:f>Q137+N137-1</x:f>
      </x:c>
      <x:c r="S137" s="9" t="inlineStr">
        <x:is>
          <x:t xml:space="preserve">PRC-02</x:t>
        </x:is>
      </x:c>
      <x:c r="T137" s="15" t="inlineStr">
        <x:is>
          <x:t xml:space="preserve">N</x:t>
        </x:is>
      </x:c>
      <x:c r="U137" s="14" t="inlineStr">
        <x:is>
          <x:t xml:space="preserve"/>
        </x:is>
      </x:c>
    </x:row>
    <x:row r="138" ht="42" customHeight="1">
      <x:c r="A138" s="9" t="inlineStr">
        <x:is>
          <x:t xml:space="preserve">PRC-07</x:t>
        </x:is>
      </x:c>
      <x:c r="B138" s="9" t="inlineStr">
        <x:is>
          <x:t xml:space="preserve">Process</x:t>
        </x:is>
      </x:c>
      <x:c r="C138" s="9" t="inlineStr">
        <x:is>
          <x:t xml:space="preserve">Governance</x:t>
        </x:is>
      </x:c>
      <x:c r="D138" s="13" t="n">
        <x:v>5</x:v>
      </x:c>
      <x:c r="E138" s="9" t="inlineStr">
        <x:is>
          <x:t xml:space="preserve">Access Review</x:t>
        </x:is>
      </x:c>
      <x:c r="F138" s="9" t="inlineStr">
        <x:is>
          <x:t xml:space="preserve">Periodic access review process</x:t>
        </x:is>
      </x:c>
      <x:c r="G138" s="14" t="inlineStr">
        <x:is>
          <x:t xml:space="preserve">Define cadence (e.g., quarterly), review steps, evidence capture, and remediation workflow.</x:t>
        </x:is>
      </x:c>
      <x:c r="H138" s="14" t="inlineStr">
        <x:is>
          <x:t xml:space="preserve">Access review process</x:t>
        </x:is>
      </x:c>
      <x:c r="I138" s="9" t="inlineStr">
        <x:is>
          <x:t xml:space="preserve">Security/Identity Eng</x:t>
        </x:is>
      </x:c>
      <x:c r="J138" s="15" t="inlineStr">
        <x:is>
          <x:t xml:space="preserve">A</x:t>
        </x:is>
      </x:c>
      <x:c r="K138" s="15" t="inlineStr">
        <x:is>
          <x:t xml:space="preserve">P1</x:t>
        </x:is>
      </x:c>
      <x:c r="L138" s="15" t="inlineStr">
        <x:is>
          <x:t xml:space="preserve">Not Started</x:t>
        </x:is>
      </x:c>
      <x:c r="M138" s="16" t="n">
        <x:v>3</x:v>
      </x:c>
      <x:c r="N138" s="13" t="n">
        <x:v>3</x:v>
      </x:c>
      <x:c r="O138" s="13" t="n">
        <x:v>10</x:v>
      </x:c>
      <x:c r="P138" s="13">
        <x:f>O138+ROUNDUP(N138/Inputs!$B$4,0)-1</x:f>
      </x:c>
      <x:c r="Q138" s="17">
        <x:f>Inputs!$B$3+(O138-1)*Inputs!$B$4</x:f>
      </x:c>
      <x:c r="R138" s="17">
        <x:f>Q138+N138-1</x:f>
      </x:c>
      <x:c r="S138" s="9" t="inlineStr">
        <x:is>
          <x:t xml:space="preserve">PLY-11</x:t>
        </x:is>
      </x:c>
      <x:c r="T138" s="15" t="inlineStr">
        <x:is>
          <x:t xml:space="preserve">N</x:t>
        </x:is>
      </x:c>
      <x:c r="U138" s="14" t="inlineStr">
        <x:is>
          <x:t xml:space="preserve"/>
        </x:is>
      </x:c>
    </x:row>
    <x:row r="139" ht="42" customHeight="1">
      <x:c r="A139" s="9" t="inlineStr">
        <x:is>
          <x:t xml:space="preserve">PRC-12</x:t>
        </x:is>
      </x:c>
      <x:c r="B139" s="9" t="inlineStr">
        <x:is>
          <x:t xml:space="preserve">Process</x:t>
        </x:is>
      </x:c>
      <x:c r="C139" s="9" t="inlineStr">
        <x:is>
          <x:t xml:space="preserve">Governance</x:t>
        </x:is>
      </x:c>
      <x:c r="D139" s="13" t="n">
        <x:v>5</x:v>
      </x:c>
      <x:c r="E139" s="9" t="inlineStr">
        <x:is>
          <x:t xml:space="preserve">Decommission</x:t>
        </x:is>
      </x:c>
      <x:c r="F139" s="9" t="inlineStr">
        <x:is>
          <x:t xml:space="preserve">Source decommission workflow</x:t>
        </x:is>
      </x:c>
      <x:c r="G139" s="14" t="inlineStr">
        <x:is>
          <x:t xml:space="preserve">Define steps to disable schedules, archive configs, retain data, and notify consumers.</x:t>
        </x:is>
      </x:c>
      <x:c r="H139" s="14" t="inlineStr">
        <x:is>
          <x:t xml:space="preserve">Decommission workflow</x:t>
        </x:is>
      </x:c>
      <x:c r="I139" s="9" t="inlineStr">
        <x:is>
          <x:t xml:space="preserve">Product Owner</x:t>
        </x:is>
      </x:c>
      <x:c r="J139" s="15" t="inlineStr">
        <x:is>
          <x:t xml:space="preserve">A</x:t>
        </x:is>
      </x:c>
      <x:c r="K139" s="15" t="inlineStr">
        <x:is>
          <x:t xml:space="preserve">P3</x:t>
        </x:is>
      </x:c>
      <x:c r="L139" s="15" t="inlineStr">
        <x:is>
          <x:t xml:space="preserve">Not Started</x:t>
        </x:is>
      </x:c>
      <x:c r="M139" s="16" t="n">
        <x:v>2</x:v>
      </x:c>
      <x:c r="N139" s="13" t="n">
        <x:v>2</x:v>
      </x:c>
      <x:c r="O139" s="13" t="n">
        <x:v>14</x:v>
      </x:c>
      <x:c r="P139" s="13">
        <x:f>O139+ROUNDUP(N139/Inputs!$B$4,0)-1</x:f>
      </x:c>
      <x:c r="Q139" s="17">
        <x:f>Inputs!$B$3+(O139-1)*Inputs!$B$4</x:f>
      </x:c>
      <x:c r="R139" s="17">
        <x:f>Q139+N139-1</x:f>
      </x:c>
      <x:c r="S139" s="9" t="inlineStr">
        <x:is>
          <x:t xml:space="preserve">PLY-15</x:t>
        </x:is>
      </x:c>
      <x:c r="T139" s="15" t="inlineStr">
        <x:is>
          <x:t xml:space="preserve">N</x:t>
        </x:is>
      </x:c>
      <x:c r="U139" s="14" t="inlineStr">
        <x:is>
          <x:t xml:space="preserve"/>
        </x:is>
      </x:c>
    </x:row>
    <x:row r="140" ht="42" customHeight="1">
      <x:c r="A140" s="9" t="inlineStr">
        <x:is>
          <x:t xml:space="preserve">PRC-10</x:t>
        </x:is>
      </x:c>
      <x:c r="B140" s="9" t="inlineStr">
        <x:is>
          <x:t xml:space="preserve">Process</x:t>
        </x:is>
      </x:c>
      <x:c r="C140" s="9" t="inlineStr">
        <x:is>
          <x:t xml:space="preserve">Operations</x:t>
        </x:is>
      </x:c>
      <x:c r="D140" s="13" t="n">
        <x:v>6</x:v>
      </x:c>
      <x:c r="E140" s="9" t="inlineStr">
        <x:is>
          <x:t xml:space="preserve">Operational Readiness</x:t>
        </x:is>
      </x:c>
      <x:c r="F140" s="9" t="inlineStr">
        <x:is>
          <x:t xml:space="preserve">Operational Readiness Review (ORR) process</x:t>
        </x:is>
      </x:c>
      <x:c r="G140" s="14" t="inlineStr">
        <x:is>
          <x:t xml:space="preserve">Define ORR checklist, gates, evidence requirements and signoff.</x:t>
        </x:is>
      </x:c>
      <x:c r="H140" s="14" t="inlineStr">
        <x:is>
          <x:t xml:space="preserve">ORR process &amp; checklist</x:t>
        </x:is>
      </x:c>
      <x:c r="I140" s="9" t="inlineStr">
        <x:is>
          <x:t xml:space="preserve">SRE/Operations</x:t>
        </x:is>
      </x:c>
      <x:c r="J140" s="15" t="inlineStr">
        <x:is>
          <x:t xml:space="preserve">A</x:t>
        </x:is>
      </x:c>
      <x:c r="K140" s="15" t="inlineStr">
        <x:is>
          <x:t xml:space="preserve">P0</x:t>
        </x:is>
      </x:c>
      <x:c r="L140" s="15" t="inlineStr">
        <x:is>
          <x:t xml:space="preserve">Not Started</x:t>
        </x:is>
      </x:c>
      <x:c r="M140" s="16" t="n">
        <x:v>4</x:v>
      </x:c>
      <x:c r="N140" s="13" t="n">
        <x:v>4</x:v>
      </x:c>
      <x:c r="O140" s="13" t="n">
        <x:v>11</x:v>
      </x:c>
      <x:c r="P140" s="13">
        <x:f>O140+ROUNDUP(N140/Inputs!$B$4,0)-1</x:f>
      </x:c>
      <x:c r="Q140" s="17">
        <x:f>Inputs!$B$3+(O140-1)*Inputs!$B$4</x:f>
      </x:c>
      <x:c r="R140" s="17">
        <x:f>Q140+N140-1</x:f>
      </x:c>
      <x:c r="S140" s="9" t="inlineStr">
        <x:is>
          <x:t xml:space="preserve">PLY-02,PLY-09,PLY-07</x:t>
        </x:is>
      </x:c>
      <x:c r="T140" s="15" t="inlineStr">
        <x:is>
          <x:t xml:space="preserve">N</x:t>
        </x:is>
      </x:c>
      <x:c r="U140" s="14" t="inlineStr">
        <x:is>
          <x:t xml:space="preserve"/>
        </x:is>
      </x:c>
    </x:row>
    <x:row r="141" ht="42" customHeight="1">
      <x:c r="A141" s="9" t="inlineStr">
        <x:is>
          <x:t xml:space="preserve">PRC-11</x:t>
        </x:is>
      </x:c>
      <x:c r="B141" s="9" t="inlineStr">
        <x:is>
          <x:t xml:space="preserve">Process</x:t>
        </x:is>
      </x:c>
      <x:c r="C141" s="9" t="inlineStr">
        <x:is>
          <x:t xml:space="preserve">Operations</x:t>
        </x:is>
      </x:c>
      <x:c r="D141" s="13" t="n">
        <x:v>6</x:v>
      </x:c>
      <x:c r="E141" s="9" t="inlineStr">
        <x:is>
          <x:t xml:space="preserve">Game Days</x:t>
        </x:is>
      </x:c>
      <x:c r="F141" s="9" t="inlineStr">
        <x:is>
          <x:t xml:space="preserve">Game day &amp; DR drill process</x:t>
        </x:is>
      </x:c>
      <x:c r="G141" s="14" t="inlineStr">
        <x:is>
          <x:t xml:space="preserve">Define how to simulate outages (vendor outage, token expiry, schema break), roles and success criteria.</x:t>
        </x:is>
      </x:c>
      <x:c r="H141" s="14" t="inlineStr">
        <x:is>
          <x:t xml:space="preserve">Game day process</x:t>
        </x:is>
      </x:c>
      <x:c r="I141" s="9" t="inlineStr">
        <x:is>
          <x:t xml:space="preserve">SRE/Operations</x:t>
        </x:is>
      </x:c>
      <x:c r="J141" s="15" t="inlineStr">
        <x:is>
          <x:t xml:space="preserve">A</x:t>
        </x:is>
      </x:c>
      <x:c r="K141" s="15" t="inlineStr">
        <x:is>
          <x:t xml:space="preserve">P1</x:t>
        </x:is>
      </x:c>
      <x:c r="L141" s="15" t="inlineStr">
        <x:is>
          <x:t xml:space="preserve">Not Started</x:t>
        </x:is>
      </x:c>
      <x:c r="M141" s="16" t="n">
        <x:v>3</x:v>
      </x:c>
      <x:c r="N141" s="13" t="n">
        <x:v>3</x:v>
      </x:c>
      <x:c r="O141" s="13" t="n">
        <x:v>12</x:v>
      </x:c>
      <x:c r="P141" s="13">
        <x:f>O141+ROUNDUP(N141/Inputs!$B$4,0)-1</x:f>
      </x:c>
      <x:c r="Q141" s="17">
        <x:f>Inputs!$B$3+(O141-1)*Inputs!$B$4</x:f>
      </x:c>
      <x:c r="R141" s="17">
        <x:f>Q141+N141-1</x:f>
      </x:c>
      <x:c r="S141" s="9" t="inlineStr">
        <x:is>
          <x:t xml:space="preserve">PRC-10</x:t>
        </x:is>
      </x:c>
      <x:c r="T141" s="15" t="inlineStr">
        <x:is>
          <x:t xml:space="preserve">N</x:t>
        </x:is>
      </x:c>
      <x:c r="U141" s="14" t="inlineStr">
        <x:is>
          <x:t xml:space="preserve"/>
        </x:is>
      </x:c>
    </x:row>
  </x:sheetData>
  <x:mergeCells>
    <x:mergeCell ref="A1:U1"/>
    <x:mergeCell ref="A2:U2"/>
  </x:mergeCells>
  <x:conditionalFormatting sqref="K4:K141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141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141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Policy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PLY-01</x:t>
        </x:is>
      </x:c>
      <x:c r="B4" s="9" t="inlineStr">
        <x:is>
          <x:t xml:space="preserve">Policy</x:t>
        </x:is>
      </x:c>
      <x:c r="C4" s="9" t="inlineStr">
        <x:is>
          <x:t xml:space="preserve">Governance</x:t>
        </x:is>
      </x:c>
      <x:c r="D4" s="13" t="n">
        <x:v>0</x:v>
      </x:c>
      <x:c r="E4" s="9" t="inlineStr">
        <x:is>
          <x:t xml:space="preserve">Program Governance</x:t>
        </x:is>
      </x:c>
      <x:c r="F4" s="9" t="inlineStr">
        <x:is>
          <x:t xml:space="preserve">Define program success criteria &amp; scope</x:t>
        </x:is>
      </x:c>
      <x:c r="G4" s="14" t="inlineStr">
        <x:is>
          <x:t xml:space="preserve">Define what 'productionized' means (SLOs, security, audit, runbooks), confirm scope across 100s of APIs.</x:t>
        </x:is>
      </x:c>
      <x:c r="H4" s="14" t="inlineStr">
        <x:is>
          <x:t xml:space="preserve">Productionization definition + success metrics</x:t>
        </x:is>
      </x:c>
      <x:c r="I4" s="9" t="inlineStr">
        <x:is>
          <x:t xml:space="preserve">Product Owner</x:t>
        </x:is>
      </x:c>
      <x:c r="J4" s="15" t="inlineStr">
        <x:is>
          <x:t xml:space="preserve">A</x:t>
        </x:is>
      </x:c>
      <x:c r="K4" s="15" t="inlineStr">
        <x:is>
          <x:t xml:space="preserve">P1</x:t>
        </x:is>
      </x:c>
      <x:c r="L4" s="15" t="inlineStr">
        <x:is>
          <x:t xml:space="preserve">Not Started</x:t>
        </x:is>
      </x:c>
      <x:c r="M4" s="16" t="n">
        <x:v>3</x:v>
      </x:c>
      <x:c r="N4" s="13" t="n">
        <x:v>3</x:v>
      </x:c>
      <x:c r="O4" s="13" t="n">
        <x:v>1</x:v>
      </x:c>
      <x:c r="P4" s="13">
        <x:f>O4+ROUNDUP(N4/Inputs!$B$4,0)-1</x:f>
        <x:v>1</x:v>
      </x:c>
      <x:c r="Q4" s="17">
        <x:f>Inputs!$B$3+(O4-1)*Inputs!$B$4</x:f>
        <x:v>46076</x:v>
      </x:c>
      <x:c r="R4" s="17">
        <x:f>Q4+N4-1</x:f>
        <x:v>46078</x:v>
      </x:c>
      <x:c r="S4" s="9" t="inlineStr">
        <x:is>
          <x:t xml:space="preserve"/>
        </x:is>
      </x:c>
      <x:c r="T4" s="15" t="inlineStr">
        <x:is>
          <x:t xml:space="preserve">N</x:t>
        </x:is>
      </x:c>
      <x:c r="U4" s="14" t="inlineStr">
        <x:is>
          <x:t xml:space="preserve"/>
        </x:is>
      </x:c>
    </x:row>
    <x:row r="5" ht="42" customHeight="1">
      <x:c r="A5" s="9" t="inlineStr">
        <x:is>
          <x:t xml:space="preserve">PLY-02</x:t>
        </x:is>
      </x:c>
      <x:c r="B5" s="9" t="inlineStr">
        <x:is>
          <x:t xml:space="preserve">Policy</x:t>
        </x:is>
      </x:c>
      <x:c r="C5" s="9" t="inlineStr">
        <x:is>
          <x:t xml:space="preserve">Operations</x:t>
        </x:is>
      </x:c>
      <x:c r="D5" s="13" t="n">
        <x:v>0</x:v>
      </x:c>
      <x:c r="E5" s="9" t="inlineStr">
        <x:is>
          <x:t xml:space="preserve">Incident Management</x:t>
        </x:is>
      </x:c>
      <x:c r="F5" s="9" t="inlineStr">
        <x:is>
          <x:t xml:space="preserve">Define defect prioritization &amp; incident severity (P0–P3)</x:t>
        </x:is>
      </x:c>
      <x:c r="G5" s="14" t="inlineStr">
        <x:is>
          <x:t xml:space="preserve">Create severity definitions, response targets, escalation triggers and mapping to alerts.</x:t>
        </x:is>
      </x:c>
      <x:c r="H5" s="14" t="inlineStr">
        <x:is>
          <x:t xml:space="preserve">P0–P3 severity policy + response SLAs</x:t>
        </x:is>
      </x:c>
      <x:c r="I5" s="9" t="inlineStr">
        <x:is>
          <x:t xml:space="preserve">SRE/Operations</x:t>
        </x:is>
      </x:c>
      <x:c r="J5" s="15" t="inlineStr">
        <x:is>
          <x:t xml:space="preserve">A</x:t>
        </x:is>
      </x:c>
      <x:c r="K5" s="15" t="inlineStr">
        <x:is>
          <x:t xml:space="preserve">P0</x:t>
        </x:is>
      </x:c>
      <x:c r="L5" s="15" t="inlineStr">
        <x:is>
          <x:t xml:space="preserve">Not Started</x:t>
        </x:is>
      </x:c>
      <x:c r="M5" s="16" t="n">
        <x:v>4</x:v>
      </x:c>
      <x:c r="N5" s="13" t="n">
        <x:v>4</x:v>
      </x:c>
      <x:c r="O5" s="13" t="n">
        <x:v>1</x:v>
      </x:c>
      <x:c r="P5" s="13">
        <x:f>O5+ROUNDUP(N5/Inputs!$B$4,0)-1</x:f>
        <x:v>1</x:v>
      </x:c>
      <x:c r="Q5" s="17">
        <x:f>Inputs!$B$3+(O5-1)*Inputs!$B$4</x:f>
        <x:v>46076</x:v>
      </x:c>
      <x:c r="R5" s="17">
        <x:f>Q5+N5-1</x:f>
        <x:v>46079</x:v>
      </x:c>
      <x:c r="S5" s="9" t="inlineStr">
        <x:is>
          <x:t xml:space="preserve">PLY-01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PLY-03</x:t>
        </x:is>
      </x:c>
      <x:c r="B6" s="9" t="inlineStr">
        <x:is>
          <x:t xml:space="preserve">Policy</x:t>
        </x:is>
      </x:c>
      <x:c r="C6" s="9" t="inlineStr">
        <x:is>
          <x:t xml:space="preserve">Security</x:t>
        </x:is>
      </x:c>
      <x:c r="D6" s="13" t="n">
        <x:v>2</x:v>
      </x:c>
      <x:c r="E6" s="9" t="inlineStr">
        <x:is>
          <x:t xml:space="preserve">Secrets &amp; Identity</x:t>
        </x:is>
      </x:c>
      <x:c r="F6" s="9" t="inlineStr">
        <x:is>
          <x:t xml:space="preserve">Service account and credential policy</x:t>
        </x:is>
      </x:c>
      <x:c r="G6" s="14" t="inlineStr">
        <x:is>
          <x:t xml:space="preserve">Define rules: no personal tokens in prod, service principals, least privilege, ownership and audit.</x:t>
        </x:is>
      </x:c>
      <x:c r="H6" s="14" t="inlineStr">
        <x:is>
          <x:t xml:space="preserve">Service account policy (Databricks + vendor)</x:t>
        </x:is>
      </x:c>
      <x:c r="I6" s="9" t="inlineStr">
        <x:is>
          <x:t xml:space="preserve">Security/Identity Eng</x:t>
        </x:is>
      </x:c>
      <x:c r="J6" s="15" t="inlineStr">
        <x:is>
          <x:t xml:space="preserve">A</x:t>
        </x:is>
      </x:c>
      <x:c r="K6" s="15" t="inlineStr">
        <x:is>
          <x:t xml:space="preserve">P0</x:t>
        </x:is>
      </x:c>
      <x:c r="L6" s="15" t="inlineStr">
        <x:is>
          <x:t xml:space="preserve">Not Started</x:t>
        </x:is>
      </x:c>
      <x:c r="M6" s="16" t="n">
        <x:v>4</x:v>
      </x:c>
      <x:c r="N6" s="13" t="n">
        <x:v>4</x:v>
      </x:c>
      <x:c r="O6" s="13" t="n">
        <x:v>2</x:v>
      </x:c>
      <x:c r="P6" s="13">
        <x:f>O6+ROUNDUP(N6/Inputs!$B$4,0)-1</x:f>
        <x:v>2</x:v>
      </x:c>
      <x:c r="Q6" s="17">
        <x:f>Inputs!$B$3+(O6-1)*Inputs!$B$4</x:f>
        <x:v>46083</x:v>
      </x:c>
      <x:c r="R6" s="17">
        <x:f>Q6+N6-1</x:f>
        <x:v>46086</x:v>
      </x:c>
      <x:c r="S6" s="9" t="inlineStr">
        <x:is>
          <x:t xml:space="preserve">PLY-01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PLY-04</x:t>
        </x:is>
      </x:c>
      <x:c r="B7" s="9" t="inlineStr">
        <x:is>
          <x:t xml:space="preserve">Policy</x:t>
        </x:is>
      </x:c>
      <x:c r="C7" s="9" t="inlineStr">
        <x:is>
          <x:t xml:space="preserve">Security</x:t>
        </x:is>
      </x:c>
      <x:c r="D7" s="13" t="n">
        <x:v>2</x:v>
      </x:c>
      <x:c r="E7" s="9" t="inlineStr">
        <x:is>
          <x:t xml:space="preserve">Secrets &amp; Identity</x:t>
        </x:is>
      </x:c>
      <x:c r="F7" s="9" t="inlineStr">
        <x:is>
          <x:t xml:space="preserve">Credential rotation policy</x:t>
        </x:is>
      </x:c>
      <x:c r="G7" s="14" t="inlineStr">
        <x:is>
          <x:t xml:space="preserve">Define rotation frequency, emergency rotation, break-glass access, audit requirements.</x:t>
        </x:is>
      </x:c>
      <x:c r="H7" s="14" t="inlineStr">
        <x:is>
          <x:t xml:space="preserve">Credential rotation policy</x:t>
        </x:is>
      </x:c>
      <x:c r="I7" s="9" t="inlineStr">
        <x:is>
          <x:t xml:space="preserve">Security/Identity Eng</x:t>
        </x:is>
      </x:c>
      <x:c r="J7" s="15" t="inlineStr">
        <x:is>
          <x:t xml:space="preserve">A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3</x:v>
      </x:c>
      <x:c r="N7" s="13" t="n">
        <x:v>3</x:v>
      </x:c>
      <x:c r="O7" s="13" t="n">
        <x:v>2</x:v>
      </x:c>
      <x:c r="P7" s="13">
        <x:f>O7+ROUNDUP(N7/Inputs!$B$4,0)-1</x:f>
        <x:v>2</x:v>
      </x:c>
      <x:c r="Q7" s="17">
        <x:f>Inputs!$B$3+(O7-1)*Inputs!$B$4</x:f>
        <x:v>46083</x:v>
      </x:c>
      <x:c r="R7" s="17">
        <x:f>Q7+N7-1</x:f>
        <x:v>46085</x:v>
      </x:c>
      <x:c r="S7" s="9" t="inlineStr">
        <x:is>
          <x:t xml:space="preserve">PLY-03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9" t="inlineStr">
        <x:is>
          <x:t xml:space="preserve">PLY-05</x:t>
        </x:is>
      </x:c>
      <x:c r="B8" s="9" t="inlineStr">
        <x:is>
          <x:t xml:space="preserve">Policy</x:t>
        </x:is>
      </x:c>
      <x:c r="C8" s="9" t="inlineStr">
        <x:is>
          <x:t xml:space="preserve">Governance</x:t>
        </x:is>
      </x:c>
      <x:c r="D8" s="13" t="n">
        <x:v>2</x:v>
      </x:c>
      <x:c r="E8" s="9" t="inlineStr">
        <x:is>
          <x:t xml:space="preserve">Data Governance</x:t>
        </x:is>
      </x:c>
      <x:c r="F8" s="9" t="inlineStr">
        <x:is>
          <x:t xml:space="preserve">Data classification policy for ingested data</x:t>
        </x:is>
      </x:c>
      <x:c r="G8" s="14" t="inlineStr">
        <x:is>
          <x:t xml:space="preserve">Define classification levels and handling rules for Bronze payloads (PII/PHI), masking/encryption, access rules.</x:t>
        </x:is>
      </x:c>
      <x:c r="H8" s="14" t="inlineStr">
        <x:is>
          <x:t xml:space="preserve">Data classification policy</x:t>
        </x:is>
      </x:c>
      <x:c r="I8" s="9" t="inlineStr">
        <x:is>
          <x:t xml:space="preserve">Security/Identity Eng</x:t>
        </x:is>
      </x:c>
      <x:c r="J8" s="15" t="inlineStr">
        <x:is>
          <x:t xml:space="preserve">C</x:t>
        </x:is>
      </x:c>
      <x:c r="K8" s="15" t="inlineStr">
        <x:is>
          <x:t xml:space="preserve">P0</x:t>
        </x:is>
      </x:c>
      <x:c r="L8" s="15" t="inlineStr">
        <x:is>
          <x:t xml:space="preserve">Not Started</x:t>
        </x:is>
      </x:c>
      <x:c r="M8" s="16" t="n">
        <x:v>5</x:v>
      </x:c>
      <x:c r="N8" s="13" t="n">
        <x:v>5</x:v>
      </x:c>
      <x:c r="O8" s="13" t="n">
        <x:v>3</x:v>
      </x:c>
      <x:c r="P8" s="13">
        <x:f>O8+ROUNDUP(N8/Inputs!$B$4,0)-1</x:f>
        <x:v>3</x:v>
      </x:c>
      <x:c r="Q8" s="17">
        <x:f>Inputs!$B$3+(O8-1)*Inputs!$B$4</x:f>
        <x:v>46090</x:v>
      </x:c>
      <x:c r="R8" s="17">
        <x:f>Q8+N8-1</x:f>
        <x:v>46094</x:v>
      </x:c>
      <x:c r="S8" s="9" t="inlineStr">
        <x:is>
          <x:t xml:space="preserve">PLY-01</x:t>
        </x:is>
      </x:c>
      <x:c r="T8" s="15" t="inlineStr">
        <x:is>
          <x:t xml:space="preserve">N</x:t>
        </x:is>
      </x:c>
      <x:c r="U8" s="14" t="inlineStr">
        <x:is>
          <x:t xml:space="preserve"/>
        </x:is>
      </x:c>
    </x:row>
    <x:row r="9" ht="42" customHeight="1">
      <x:c r="A9" s="9" t="inlineStr">
        <x:is>
          <x:t xml:space="preserve">PLY-06</x:t>
        </x:is>
      </x:c>
      <x:c r="B9" s="9" t="inlineStr">
        <x:is>
          <x:t xml:space="preserve">Policy</x:t>
        </x:is>
      </x:c>
      <x:c r="C9" s="9" t="inlineStr">
        <x:is>
          <x:t xml:space="preserve">Governance</x:t>
        </x:is>
      </x:c>
      <x:c r="D9" s="13" t="n">
        <x:v>2</x:v>
      </x:c>
      <x:c r="E9" s="9" t="inlineStr">
        <x:is>
          <x:t xml:space="preserve">Retention</x:t>
        </x:is>
      </x:c>
      <x:c r="F9" s="9" t="inlineStr">
        <x:is>
          <x:t xml:space="preserve">Retention &amp; purge policy (Bronze, logs, audit)</x:t>
        </x:is>
      </x:c>
      <x:c r="G9" s="14" t="inlineStr">
        <x:is>
          <x:t xml:space="preserve">Define retention periods for raw payloads, metrics, audit logs, DLQ, and purge mechanisms.</x:t>
        </x:is>
      </x:c>
      <x:c r="H9" s="14" t="inlineStr">
        <x:is>
          <x:t xml:space="preserve">Retention policy + purge requirements</x:t>
        </x:is>
      </x:c>
      <x:c r="I9" s="9" t="inlineStr">
        <x:is>
          <x:t xml:space="preserve">Data Platform Architect</x:t>
        </x:is>
      </x:c>
      <x:c r="J9" s="15" t="inlineStr">
        <x:is>
          <x:t xml:space="preserve">A</x:t>
        </x:is>
      </x:c>
      <x:c r="K9" s="15" t="inlineStr">
        <x:is>
          <x:t xml:space="preserve">P1</x:t>
        </x:is>
      </x:c>
      <x:c r="L9" s="15" t="inlineStr">
        <x:is>
          <x:t xml:space="preserve">Not Started</x:t>
        </x:is>
      </x:c>
      <x:c r="M9" s="16" t="n">
        <x:v>4</x:v>
      </x:c>
      <x:c r="N9" s="13" t="n">
        <x:v>4</x:v>
      </x:c>
      <x:c r="O9" s="13" t="n">
        <x:v>3</x:v>
      </x:c>
      <x:c r="P9" s="13">
        <x:f>O9+ROUNDUP(N9/Inputs!$B$4,0)-1</x:f>
        <x:v>3</x:v>
      </x:c>
      <x:c r="Q9" s="17">
        <x:f>Inputs!$B$3+(O9-1)*Inputs!$B$4</x:f>
        <x:v>46090</x:v>
      </x:c>
      <x:c r="R9" s="17">
        <x:f>Q9+N9-1</x:f>
        <x:v>46093</x:v>
      </x:c>
      <x:c r="S9" s="9" t="inlineStr">
        <x:is>
          <x:t xml:space="preserve">PLY-05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PLY-07</x:t>
        </x:is>
      </x:c>
      <x:c r="B10" s="9" t="inlineStr">
        <x:is>
          <x:t xml:space="preserve">Policy</x:t>
        </x:is>
      </x:c>
      <x:c r="C10" s="9" t="inlineStr">
        <x:is>
          <x:t xml:space="preserve">DevSecOps</x:t>
        </x:is>
      </x:c>
      <x:c r="D10" s="13" t="n">
        <x:v>2</x:v>
      </x:c>
      <x:c r="E10" s="9" t="inlineStr">
        <x:is>
          <x:t xml:space="preserve">Change Management</x:t>
        </x:is>
      </x:c>
      <x:c r="F10" s="9" t="inlineStr">
        <x:is>
          <x:t xml:space="preserve">Release &amp; change management policy</x:t>
        </x:is>
      </x:c>
      <x:c r="G10" s="14" t="inlineStr">
        <x:is>
          <x:t xml:space="preserve">Define promotion gates, approvals, freeze windows, emergency hotfix rules, rollback expectations.</x:t>
        </x:is>
      </x:c>
      <x:c r="H10" s="14" t="inlineStr">
        <x:is>
          <x:t xml:space="preserve">Change/release policy</x:t>
        </x:is>
      </x:c>
      <x:c r="I10" s="9" t="inlineStr">
        <x:is>
          <x:t xml:space="preserve">Release Manager</x:t>
        </x:is>
      </x:c>
      <x:c r="J10" s="15" t="inlineStr">
        <x:is>
          <x:t xml:space="preserve">A</x:t>
        </x:is>
      </x:c>
      <x:c r="K10" s="15" t="inlineStr">
        <x:is>
          <x:t xml:space="preserve">P0</x:t>
        </x:is>
      </x:c>
      <x:c r="L10" s="15" t="inlineStr">
        <x:is>
          <x:t xml:space="preserve">Not Started</x:t>
        </x:is>
      </x:c>
      <x:c r="M10" s="16" t="n">
        <x:v>4</x:v>
      </x:c>
      <x:c r="N10" s="13" t="n">
        <x:v>4</x:v>
      </x:c>
      <x:c r="O10" s="13" t="n">
        <x:v>3</x:v>
      </x:c>
      <x:c r="P10" s="13">
        <x:f>O10+ROUNDUP(N10/Inputs!$B$4,0)-1</x:f>
        <x:v>3</x:v>
      </x:c>
      <x:c r="Q10" s="17">
        <x:f>Inputs!$B$3+(O10-1)*Inputs!$B$4</x:f>
        <x:v>46090</x:v>
      </x:c>
      <x:c r="R10" s="17">
        <x:f>Q10+N10-1</x:f>
        <x:v>46093</x:v>
      </x:c>
      <x:c r="S10" s="9" t="inlineStr">
        <x:is>
          <x:t xml:space="preserve">PLY-01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PLY-08</x:t>
        </x:is>
      </x:c>
      <x:c r="B11" s="9" t="inlineStr">
        <x:is>
          <x:t xml:space="preserve">Policy</x:t>
        </x:is>
      </x:c>
      <x:c r="C11" s="9" t="inlineStr">
        <x:is>
          <x:t xml:space="preserve">DevSecOps</x:t>
        </x:is>
      </x:c>
      <x:c r="D11" s="13" t="n">
        <x:v>2</x:v>
      </x:c>
      <x:c r="E11" s="9" t="inlineStr">
        <x:is>
          <x:t xml:space="preserve">SDLC</x:t>
        </x:is>
      </x:c>
      <x:c r="F11" s="9" t="inlineStr">
        <x:is>
          <x:t xml:space="preserve">Branching and versioning policy</x:t>
        </x:is>
      </x:c>
      <x:c r="G11" s="14" t="inlineStr">
        <x:is>
          <x:t xml:space="preserve">Define branching strategy, artifact versioning, semantic version rules for connectors/runtime.</x:t>
        </x:is>
      </x:c>
      <x:c r="H11" s="14" t="inlineStr">
        <x:is>
          <x:t xml:space="preserve">SDLC versioning policy</x:t>
        </x:is>
      </x:c>
      <x:c r="I11" s="9" t="inlineStr">
        <x:is>
          <x:t xml:space="preserve">DevOps/Platform Eng</x:t>
        </x:is>
      </x:c>
      <x:c r="J11" s="15" t="inlineStr">
        <x:is>
          <x:t xml:space="preserve">A</x:t>
        </x:is>
      </x:c>
      <x:c r="K11" s="15" t="inlineStr">
        <x:is>
          <x:t xml:space="preserve">P1</x:t>
        </x:is>
      </x:c>
      <x:c r="L11" s="15" t="inlineStr">
        <x:is>
          <x:t xml:space="preserve">Not Started</x:t>
        </x:is>
      </x:c>
      <x:c r="M11" s="16" t="n">
        <x:v>3</x:v>
      </x:c>
      <x:c r="N11" s="13" t="n">
        <x:v>3</x:v>
      </x:c>
      <x:c r="O11" s="13" t="n">
        <x:v>3</x:v>
      </x:c>
      <x:c r="P11" s="13">
        <x:f>O11+ROUNDUP(N11/Inputs!$B$4,0)-1</x:f>
        <x:v>3</x:v>
      </x:c>
      <x:c r="Q11" s="17">
        <x:f>Inputs!$B$3+(O11-1)*Inputs!$B$4</x:f>
        <x:v>46090</x:v>
      </x:c>
      <x:c r="R11" s="17">
        <x:f>Q11+N11-1</x:f>
        <x:v>46092</x:v>
      </x:c>
      <x:c r="S11" s="9" t="inlineStr">
        <x:is>
          <x:t xml:space="preserve">PLY-07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PLY-11</x:t>
        </x:is>
      </x:c>
      <x:c r="B12" s="9" t="inlineStr">
        <x:is>
          <x:t xml:space="preserve">Policy</x:t>
        </x:is>
      </x:c>
      <x:c r="C12" s="9" t="inlineStr">
        <x:is>
          <x:t xml:space="preserve">Governance</x:t>
        </x:is>
      </x:c>
      <x:c r="D12" s="13" t="n">
        <x:v>2</x:v>
      </x:c>
      <x:c r="E12" s="9" t="inlineStr">
        <x:is>
          <x:t xml:space="preserve">Access Control</x:t>
        </x:is>
      </x:c>
      <x:c r="F12" s="9" t="inlineStr">
        <x:is>
          <x:t xml:space="preserve">Access control policy (Unity Catalog)</x:t>
        </x:is>
      </x:c>
      <x:c r="G12" s="14" t="inlineStr">
        <x:is>
          <x:t xml:space="preserve">Define who can read/write Bronze, how domain teams access data, access review cadence.</x:t>
        </x:is>
      </x:c>
      <x:c r="H12" s="14" t="inlineStr">
        <x:is>
          <x:t xml:space="preserve">UC access control policy</x:t>
        </x:is>
      </x:c>
      <x:c r="I12" s="9" t="inlineStr">
        <x:is>
          <x:t xml:space="preserve">Security/Identity Eng</x:t>
        </x:is>
      </x:c>
      <x:c r="J12" s="15" t="inlineStr">
        <x:is>
          <x:t xml:space="preserve">A</x:t>
        </x:is>
      </x:c>
      <x:c r="K12" s="15" t="inlineStr">
        <x:is>
          <x:t xml:space="preserve">P0</x:t>
        </x:is>
      </x:c>
      <x:c r="L12" s="15" t="inlineStr">
        <x:is>
          <x:t xml:space="preserve">Not Started</x:t>
        </x:is>
      </x:c>
      <x:c r="M12" s="16" t="n">
        <x:v>4</x:v>
      </x:c>
      <x:c r="N12" s="13" t="n">
        <x:v>4</x:v>
      </x:c>
      <x:c r="O12" s="13" t="n">
        <x:v>4</x:v>
      </x:c>
      <x:c r="P12" s="13">
        <x:f>O12+ROUNDUP(N12/Inputs!$B$4,0)-1</x:f>
        <x:v>4</x:v>
      </x:c>
      <x:c r="Q12" s="17">
        <x:f>Inputs!$B$3+(O12-1)*Inputs!$B$4</x:f>
        <x:v>46097</x:v>
      </x:c>
      <x:c r="R12" s="17">
        <x:f>Q12+N12-1</x:f>
        <x:v>46100</x:v>
      </x:c>
      <x:c r="S12" s="9" t="inlineStr">
        <x:is>
          <x:t xml:space="preserve">PLY-05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PLY-15</x:t>
        </x:is>
      </x:c>
      <x:c r="B13" s="9" t="inlineStr">
        <x:is>
          <x:t xml:space="preserve">Policy</x:t>
        </x:is>
      </x:c>
      <x:c r="C13" s="9" t="inlineStr">
        <x:is>
          <x:t xml:space="preserve">Security</x:t>
        </x:is>
      </x:c>
      <x:c r="D13" s="13" t="n">
        <x:v>2</x:v>
      </x:c>
      <x:c r="E13" s="9" t="inlineStr">
        <x:is>
          <x:t xml:space="preserve">Security Monitoring</x:t>
        </x:is>
      </x:c>
      <x:c r="F13" s="9" t="inlineStr">
        <x:is>
          <x:t xml:space="preserve">Security logging and audit evidence policy</x:t>
        </x:is>
      </x:c>
      <x:c r="G13" s="14" t="inlineStr">
        <x:is>
          <x:t xml:space="preserve">Define required audit events (deployments, secret references, permission changes) and evidence retention.</x:t>
        </x:is>
      </x:c>
      <x:c r="H13" s="14" t="inlineStr">
        <x:is>
          <x:t xml:space="preserve">Security audit logging policy</x:t>
        </x:is>
      </x:c>
      <x:c r="I13" s="9" t="inlineStr">
        <x:is>
          <x:t xml:space="preserve">Security/Identity Eng</x:t>
        </x:is>
      </x:c>
      <x:c r="J13" s="15" t="inlineStr">
        <x:is>
          <x:t xml:space="preserve">A</x:t>
        </x:is>
      </x:c>
      <x:c r="K13" s="15" t="inlineStr">
        <x:is>
          <x:t xml:space="preserve">P0</x:t>
        </x:is>
      </x:c>
      <x:c r="L13" s="15" t="inlineStr">
        <x:is>
          <x:t xml:space="preserve">Not Started</x:t>
        </x:is>
      </x:c>
      <x:c r="M13" s="16" t="n">
        <x:v>4</x:v>
      </x:c>
      <x:c r="N13" s="13" t="n">
        <x:v>4</x:v>
      </x:c>
      <x:c r="O13" s="13" t="n">
        <x:v>4</x:v>
      </x:c>
      <x:c r="P13" s="13">
        <x:f>O13+ROUNDUP(N13/Inputs!$B$4,0)-1</x:f>
        <x:v>4</x:v>
      </x:c>
      <x:c r="Q13" s="17">
        <x:f>Inputs!$B$3+(O13-1)*Inputs!$B$4</x:f>
        <x:v>46097</x:v>
      </x:c>
      <x:c r="R13" s="17">
        <x:f>Q13+N13-1</x:f>
        <x:v>46100</x:v>
      </x:c>
      <x:c r="S13" s="9" t="inlineStr">
        <x:is>
          <x:t xml:space="preserve">PLY-03,PLY-07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PLY-10</x:t>
        </x:is>
      </x:c>
      <x:c r="B14" s="9" t="inlineStr">
        <x:is>
          <x:t xml:space="preserve">Policy</x:t>
        </x:is>
      </x:c>
      <x:c r="C14" s="9" t="inlineStr">
        <x:is>
          <x:t xml:space="preserve">Operations</x:t>
        </x:is>
      </x:c>
      <x:c r="D14" s="13" t="n">
        <x:v>3</x:v>
      </x:c>
      <x:c r="E14" s="9" t="inlineStr">
        <x:is>
          <x:t xml:space="preserve">SLO/SLA</x:t>
        </x:is>
      </x:c>
      <x:c r="F14" s="9" t="inlineStr">
        <x:is>
          <x:t xml:space="preserve">SLO policy (availability, freshness, latency)</x:t>
        </x:is>
      </x:c>
      <x:c r="G14" s="14" t="inlineStr">
        <x:is>
          <x:t xml:space="preserve">Define SLO targets per tier (Tier-0/1/2), measurement method, and breach handling.</x:t>
        </x:is>
      </x:c>
      <x:c r="H14" s="14" t="inlineStr">
        <x:is>
          <x:t xml:space="preserve">SLO policy + tier definitions</x:t>
        </x:is>
      </x:c>
      <x:c r="I14" s="9" t="inlineStr">
        <x:is>
          <x:t xml:space="preserve">Product Owner</x:t>
        </x:is>
      </x:c>
      <x:c r="J14" s="15" t="inlineStr">
        <x:is>
          <x:t xml:space="preserve">A</x:t>
        </x:is>
      </x:c>
      <x:c r="K14" s="15" t="inlineStr">
        <x:is>
          <x:t xml:space="preserve">P1</x:t>
        </x:is>
      </x:c>
      <x:c r="L14" s="15" t="inlineStr">
        <x:is>
          <x:t xml:space="preserve">Not Started</x:t>
        </x:is>
      </x:c>
      <x:c r="M14" s="16" t="n">
        <x:v>4</x:v>
      </x:c>
      <x:c r="N14" s="13" t="n">
        <x:v>4</x:v>
      </x:c>
      <x:c r="O14" s="13" t="n">
        <x:v>4</x:v>
      </x:c>
      <x:c r="P14" s="13">
        <x:f>O14+ROUNDUP(N14/Inputs!$B$4,0)-1</x:f>
        <x:v>4</x:v>
      </x:c>
      <x:c r="Q14" s="17">
        <x:f>Inputs!$B$3+(O14-1)*Inputs!$B$4</x:f>
        <x:v>46097</x:v>
      </x:c>
      <x:c r="R14" s="17">
        <x:f>Q14+N14-1</x:f>
        <x:v>46100</x:v>
      </x:c>
      <x:c r="S14" s="9" t="inlineStr">
        <x:is>
          <x:t xml:space="preserve">PLY-01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PLY-09</x:t>
        </x:is>
      </x:c>
      <x:c r="B15" s="9" t="inlineStr">
        <x:is>
          <x:t xml:space="preserve">Policy</x:t>
        </x:is>
      </x:c>
      <x:c r="C15" s="9" t="inlineStr">
        <x:is>
          <x:t xml:space="preserve">Operations</x:t>
        </x:is>
      </x:c>
      <x:c r="D15" s="13" t="n">
        <x:v>3</x:v>
      </x:c>
      <x:c r="E15" s="9" t="inlineStr">
        <x:is>
          <x:t xml:space="preserve">Observability</x:t>
        </x:is>
      </x:c>
      <x:c r="F15" s="9" t="inlineStr">
        <x:is>
          <x:t xml:space="preserve">Alerting policy and routing standards</x:t>
        </x:is>
      </x:c>
      <x:c r="G15" s="14" t="inlineStr">
        <x:is>
          <x:t xml:space="preserve">Define paging vs ticket alerts, quiet hours, dedupe/suppression, escalation paths (platform vs domain owners).</x:t>
        </x:is>
      </x:c>
      <x:c r="H15" s="14" t="inlineStr">
        <x:is>
          <x:t xml:space="preserve">Alerting &amp; routing policy</x:t>
        </x:is>
      </x:c>
      <x:c r="I15" s="9" t="inlineStr">
        <x:is>
          <x:t xml:space="preserve">SRE/Operations</x:t>
        </x:is>
      </x:c>
      <x:c r="J15" s="15" t="inlineStr">
        <x:is>
          <x:t xml:space="preserve">A</x:t>
        </x:is>
      </x:c>
      <x:c r="K15" s="15" t="inlineStr">
        <x:is>
          <x:t xml:space="preserve">P0</x:t>
        </x:is>
      </x:c>
      <x:c r="L15" s="15" t="inlineStr">
        <x:is>
          <x:t xml:space="preserve">Not Started</x:t>
        </x:is>
      </x:c>
      <x:c r="M15" s="16" t="n">
        <x:v>4</x:v>
      </x:c>
      <x:c r="N15" s="13" t="n">
        <x:v>4</x:v>
      </x:c>
      <x:c r="O15" s="13" t="n">
        <x:v>5</x:v>
      </x:c>
      <x:c r="P15" s="13">
        <x:f>O15+ROUNDUP(N15/Inputs!$B$4,0)-1</x:f>
        <x:v>5</x:v>
      </x:c>
      <x:c r="Q15" s="17">
        <x:f>Inputs!$B$3+(O15-1)*Inputs!$B$4</x:f>
        <x:v>46104</x:v>
      </x:c>
      <x:c r="R15" s="17">
        <x:f>Q15+N15-1</x:f>
        <x:v>46107</x:v>
      </x:c>
      <x:c r="S15" s="9" t="inlineStr">
        <x:is>
          <x:t xml:space="preserve">PLY-02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PLY-13</x:t>
        </x:is>
      </x:c>
      <x:c r="B16" s="9" t="inlineStr">
        <x:is>
          <x:t xml:space="preserve">Policy</x:t>
        </x:is>
      </x:c>
      <x:c r="C16" s="9" t="inlineStr">
        <x:is>
          <x:t xml:space="preserve">Governance</x:t>
        </x:is>
      </x:c>
      <x:c r="D16" s="13" t="n">
        <x:v>4</x:v>
      </x:c>
      <x:c r="E16" s="9" t="inlineStr">
        <x:is>
          <x:t xml:space="preserve">Source Onboarding</x:t>
        </x:is>
      </x:c>
      <x:c r="F16" s="9" t="inlineStr">
        <x:is>
          <x:t xml:space="preserve">Source onboarding acceptance criteria policy</x:t>
        </x:is>
      </x:c>
      <x:c r="G16" s="14" t="inlineStr">
        <x:is>
          <x:t xml:space="preserve">Define mandatory metadata: owner, SLA, classification, auth method, rate limits, sample payload, DQ rules.</x:t>
        </x:is>
      </x:c>
      <x:c r="H16" s="14" t="inlineStr">
        <x:is>
          <x:t xml:space="preserve">Onboarding gate policy</x:t>
        </x:is>
      </x:c>
      <x:c r="I16" s="9" t="inlineStr">
        <x:is>
          <x:t xml:space="preserve">Data Platform Architect</x:t>
        </x:is>
      </x:c>
      <x:c r="J16" s="15" t="inlineStr">
        <x:is>
          <x:t xml:space="preserve">A</x:t>
        </x:is>
      </x:c>
      <x:c r="K16" s="15" t="inlineStr">
        <x:is>
          <x:t xml:space="preserve">P1</x:t>
        </x:is>
      </x:c>
      <x:c r="L16" s="15" t="inlineStr">
        <x:is>
          <x:t xml:space="preserve">Not Started</x:t>
        </x:is>
      </x:c>
      <x:c r="M16" s="16" t="n">
        <x:v>3</x:v>
      </x:c>
      <x:c r="N16" s="13" t="n">
        <x:v>3</x:v>
      </x:c>
      <x:c r="O16" s="13" t="n">
        <x:v>7</x:v>
      </x:c>
      <x:c r="P16" s="13">
        <x:f>O16+ROUNDUP(N16/Inputs!$B$4,0)-1</x:f>
        <x:v>7</x:v>
      </x:c>
      <x:c r="Q16" s="17">
        <x:f>Inputs!$B$3+(O16-1)*Inputs!$B$4</x:f>
        <x:v>46118</x:v>
      </x:c>
      <x:c r="R16" s="17">
        <x:f>Q16+N16-1</x:f>
        <x:v>46120</x:v>
      </x:c>
      <x:c r="S16" s="9" t="inlineStr">
        <x:is>
          <x:t xml:space="preserve">PLY-05,PLY-10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PLY-12</x:t>
        </x:is>
      </x:c>
      <x:c r="B17" s="9" t="inlineStr">
        <x:is>
          <x:t xml:space="preserve">Policy</x:t>
        </x:is>
      </x:c>
      <x:c r="C17" s="9" t="inlineStr">
        <x:is>
          <x:t xml:space="preserve">Governance</x:t>
        </x:is>
      </x:c>
      <x:c r="D17" s="13" t="n">
        <x:v>5</x:v>
      </x:c>
      <x:c r="E17" s="9" t="inlineStr">
        <x:is>
          <x:t xml:space="preserve">Vendor Management</x:t>
        </x:is>
      </x:c>
      <x:c r="F17" s="9" t="inlineStr">
        <x:is>
          <x:t xml:space="preserve">Vendor escalation policy</x:t>
        </x:is>
      </x:c>
      <x:c r="G17" s="14" t="inlineStr">
        <x:is>
          <x:t xml:space="preserve">Define when/how to escalate to API vendors; required evidence and communication templates.</x:t>
        </x:is>
      </x:c>
      <x:c r="H17" s="14" t="inlineStr">
        <x:is>
          <x:t xml:space="preserve">Vendor escalation policy + templates</x:t>
        </x:is>
      </x:c>
      <x:c r="I17" s="9" t="inlineStr">
        <x:is>
          <x:t xml:space="preserve">SRE/Operations</x:t>
        </x:is>
      </x:c>
      <x:c r="J17" s="15" t="inlineStr">
        <x:is>
          <x:t xml:space="preserve">A</x:t>
        </x:is>
      </x:c>
      <x:c r="K17" s="15" t="inlineStr">
        <x:is>
          <x:t xml:space="preserve">P2</x:t>
        </x:is>
      </x:c>
      <x:c r="L17" s="15" t="inlineStr">
        <x:is>
          <x:t xml:space="preserve">Not Started</x:t>
        </x:is>
      </x:c>
      <x:c r="M17" s="16" t="n">
        <x:v>2</x:v>
      </x:c>
      <x:c r="N17" s="13" t="n">
        <x:v>2</x:v>
      </x:c>
      <x:c r="O17" s="13" t="n">
        <x:v>10</x:v>
      </x:c>
      <x:c r="P17" s="13">
        <x:f>O17+ROUNDUP(N17/Inputs!$B$4,0)-1</x:f>
        <x:v>10</x:v>
      </x:c>
      <x:c r="Q17" s="17">
        <x:f>Inputs!$B$3+(O17-1)*Inputs!$B$4</x:f>
        <x:v>46139</x:v>
      </x:c>
      <x:c r="R17" s="17">
        <x:f>Q17+N17-1</x:f>
        <x:v>46140</x:v>
      </x:c>
      <x:c r="S17" s="9" t="inlineStr">
        <x:is>
          <x:t xml:space="preserve">PLY-02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PLY-14</x:t>
        </x:is>
      </x:c>
      <x:c r="B18" s="9" t="inlineStr">
        <x:is>
          <x:t xml:space="preserve">Policy</x:t>
        </x:is>
      </x:c>
      <x:c r="C18" s="9" t="inlineStr">
        <x:is>
          <x:t xml:space="preserve">Governance</x:t>
        </x:is>
      </x:c>
      <x:c r="D18" s="13" t="n">
        <x:v>5</x:v>
      </x:c>
      <x:c r="E18" s="9" t="inlineStr">
        <x:is>
          <x:t xml:space="preserve">Decommission</x:t>
        </x:is>
      </x:c>
      <x:c r="F18" s="9" t="inlineStr">
        <x:is>
          <x:t xml:space="preserve">Source decommission policy</x:t>
        </x:is>
      </x:c>
      <x:c r="G18" s="14" t="inlineStr">
        <x:is>
          <x:t xml:space="preserve">Define how to retire sources, archive configs, retention handling, and stakeholder notifications.</x:t>
        </x:is>
      </x:c>
      <x:c r="H18" s="14" t="inlineStr">
        <x:is>
          <x:t xml:space="preserve">Decommission policy</x:t>
        </x:is>
      </x:c>
      <x:c r="I18" s="9" t="inlineStr">
        <x:is>
          <x:t xml:space="preserve">Product Owner</x:t>
        </x:is>
      </x:c>
      <x:c r="J18" s="15" t="inlineStr">
        <x:is>
          <x:t xml:space="preserve">A</x:t>
        </x:is>
      </x:c>
      <x:c r="K18" s="15" t="inlineStr">
        <x:is>
          <x:t xml:space="preserve">P3</x:t>
        </x:is>
      </x:c>
      <x:c r="L18" s="15" t="inlineStr">
        <x:is>
          <x:t xml:space="preserve">Not Started</x:t>
        </x:is>
      </x:c>
      <x:c r="M18" s="16" t="n">
        <x:v>2</x:v>
      </x:c>
      <x:c r="N18" s="13" t="n">
        <x:v>2</x:v>
      </x:c>
      <x:c r="O18" s="13" t="n">
        <x:v>14</x:v>
      </x:c>
      <x:c r="P18" s="13">
        <x:f>O18+ROUNDUP(N18/Inputs!$B$4,0)-1</x:f>
        <x:v>14</x:v>
      </x:c>
      <x:c r="Q18" s="17">
        <x:f>Inputs!$B$3+(O18-1)*Inputs!$B$4</x:f>
        <x:v>46167</x:v>
      </x:c>
      <x:c r="R18" s="17">
        <x:f>Q18+N18-1</x:f>
        <x:v>46168</x:v>
      </x:c>
      <x:c r="S18" s="9" t="inlineStr">
        <x:is>
          <x:t xml:space="preserve">PLY-14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</x:sheetData>
  <x:mergeCells>
    <x:mergeCell ref="A1:U1"/>
    <x:mergeCell ref="A2:U2"/>
  </x:mergeCells>
  <x:conditionalFormatting sqref="K4:K18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18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18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Process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PRC-01</x:t>
        </x:is>
      </x:c>
      <x:c r="B4" s="9" t="inlineStr">
        <x:is>
          <x:t xml:space="preserve">Process</x:t>
        </x:is>
      </x:c>
      <x:c r="C4" s="9" t="inlineStr">
        <x:is>
          <x:t xml:space="preserve">Governance</x:t>
        </x:is>
      </x:c>
      <x:c r="D4" s="13" t="n">
        <x:v>0</x:v>
      </x:c>
      <x:c r="E4" s="9" t="inlineStr">
        <x:is>
          <x:t xml:space="preserve">Program Governance</x:t>
        </x:is>
      </x:c>
      <x:c r="F4" s="9" t="inlineStr">
        <x:is>
          <x:t xml:space="preserve">Establish RACI &amp; operating model</x:t>
        </x:is>
      </x:c>
      <x:c r="G4" s="14" t="inlineStr">
        <x:is>
          <x:t xml:space="preserve">Define responsibilities for platform vs domain teams: onboarding, incident response, releases, data ownership.</x:t>
        </x:is>
      </x:c>
      <x:c r="H4" s="14" t="inlineStr">
        <x:is>
          <x:t xml:space="preserve">RACI matrix + operating model</x:t>
        </x:is>
      </x:c>
      <x:c r="I4" s="9" t="inlineStr">
        <x:is>
          <x:t xml:space="preserve">Product Owner</x:t>
        </x:is>
      </x:c>
      <x:c r="J4" s="15" t="inlineStr">
        <x:is>
          <x:t xml:space="preserve">A</x:t>
        </x:is>
      </x:c>
      <x:c r="K4" s="15" t="inlineStr">
        <x:is>
          <x:t xml:space="preserve">P1</x:t>
        </x:is>
      </x:c>
      <x:c r="L4" s="15" t="inlineStr">
        <x:is>
          <x:t xml:space="preserve">Not Started</x:t>
        </x:is>
      </x:c>
      <x:c r="M4" s="16" t="n">
        <x:v>3</x:v>
      </x:c>
      <x:c r="N4" s="13" t="n">
        <x:v>3</x:v>
      </x:c>
      <x:c r="O4" s="13" t="n">
        <x:v>1</x:v>
      </x:c>
      <x:c r="P4" s="13">
        <x:f>O4+ROUNDUP(N4/Inputs!$B$4,0)-1</x:f>
        <x:v>1</x:v>
      </x:c>
      <x:c r="Q4" s="17">
        <x:f>Inputs!$B$3+(O4-1)*Inputs!$B$4</x:f>
        <x:v>46076</x:v>
      </x:c>
      <x:c r="R4" s="17">
        <x:f>Q4+N4-1</x:f>
        <x:v>46078</x:v>
      </x:c>
      <x:c r="S4" s="9" t="inlineStr">
        <x:is>
          <x:t xml:space="preserve">PLY-01</x:t>
        </x:is>
      </x:c>
      <x:c r="T4" s="15" t="inlineStr">
        <x:is>
          <x:t xml:space="preserve">N</x:t>
        </x:is>
      </x:c>
      <x:c r="U4" s="14" t="inlineStr">
        <x:is>
          <x:t xml:space="preserve"/>
        </x:is>
      </x:c>
    </x:row>
    <x:row r="5" ht="42" customHeight="1">
      <x:c r="A5" s="9" t="inlineStr">
        <x:is>
          <x:t xml:space="preserve">PRC-15</x:t>
        </x:is>
      </x:c>
      <x:c r="B5" s="9" t="inlineStr">
        <x:is>
          <x:t xml:space="preserve">Process</x:t>
        </x:is>
      </x:c>
      <x:c r="C5" s="9" t="inlineStr">
        <x:is>
          <x:t xml:space="preserve">Governance</x:t>
        </x:is>
      </x:c>
      <x:c r="D5" s="13" t="n">
        <x:v>0</x:v>
      </x:c>
      <x:c r="E5" s="9" t="inlineStr">
        <x:is>
          <x:t xml:space="preserve">Planning</x:t>
        </x:is>
      </x:c>
      <x:c r="F5" s="9" t="inlineStr">
        <x:is>
          <x:t xml:space="preserve">API source tiering and onboarding wave planning</x:t>
        </x:is>
      </x:c>
      <x:c r="G5" s="14" t="inlineStr">
        <x:is>
          <x:t xml:space="preserve">Segment sources by criticality/complexity; plan waves and capacity model.</x:t>
        </x:is>
      </x:c>
      <x:c r="H5" s="14" t="inlineStr">
        <x:is>
          <x:t xml:space="preserve">Tiering + onboarding waves plan</x:t>
        </x:is>
      </x:c>
      <x:c r="I5" s="9" t="inlineStr">
        <x:is>
          <x:t xml:space="preserve">Data Platform Architect</x:t>
        </x:is>
      </x:c>
      <x:c r="J5" s="15" t="inlineStr">
        <x:is>
          <x:t xml:space="preserve">A</x:t>
        </x:is>
      </x:c>
      <x:c r="K5" s="15" t="inlineStr">
        <x:is>
          <x:t xml:space="preserve">P1</x:t>
        </x:is>
      </x:c>
      <x:c r="L5" s="15" t="inlineStr">
        <x:is>
          <x:t xml:space="preserve">Not Started</x:t>
        </x:is>
      </x:c>
      <x:c r="M5" s="16" t="n">
        <x:v>4</x:v>
      </x:c>
      <x:c r="N5" s="13" t="n">
        <x:v>4</x:v>
      </x:c>
      <x:c r="O5" s="13" t="n">
        <x:v>2</x:v>
      </x:c>
      <x:c r="P5" s="13">
        <x:f>O5+ROUNDUP(N5/Inputs!$B$4,0)-1</x:f>
        <x:v>2</x:v>
      </x:c>
      <x:c r="Q5" s="17">
        <x:f>Inputs!$B$3+(O5-1)*Inputs!$B$4</x:f>
        <x:v>46083</x:v>
      </x:c>
      <x:c r="R5" s="17">
        <x:f>Q5+N5-1</x:f>
        <x:v>46086</x:v>
      </x:c>
      <x:c r="S5" s="9" t="inlineStr">
        <x:is>
          <x:t xml:space="preserve">PLY-01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PRC-13</x:t>
        </x:is>
      </x:c>
      <x:c r="B6" s="9" t="inlineStr">
        <x:is>
          <x:t xml:space="preserve">Process</x:t>
        </x:is>
      </x:c>
      <x:c r="C6" s="9" t="inlineStr">
        <x:is>
          <x:t xml:space="preserve">DevSecOps</x:t>
        </x:is>
      </x:c>
      <x:c r="D6" s="13" t="n">
        <x:v>2</x:v>
      </x:c>
      <x:c r="E6" s="9" t="inlineStr">
        <x:is>
          <x:t xml:space="preserve">Config Management</x:t>
        </x:is>
      </x:c>
      <x:c r="F6" s="9" t="inlineStr">
        <x:is>
          <x:t xml:space="preserve">Config lifecycle process (Git→validate→publish)</x:t>
        </x:is>
      </x:c>
      <x:c r="G6" s="14" t="inlineStr">
        <x:is>
          <x:t xml:space="preserve">Define how source configs are authored, validated, versioned, and published to registry tables.</x:t>
        </x:is>
      </x:c>
      <x:c r="H6" s="14" t="inlineStr">
        <x:is>
          <x:t xml:space="preserve">Config lifecycle process</x:t>
        </x:is>
      </x:c>
      <x:c r="I6" s="9" t="inlineStr">
        <x:is>
          <x:t xml:space="preserve">DevOps/Platform Eng</x:t>
        </x:is>
      </x:c>
      <x:c r="J6" s="15" t="inlineStr">
        <x:is>
          <x:t xml:space="preserve">A</x:t>
        </x:is>
      </x:c>
      <x:c r="K6" s="15" t="inlineStr">
        <x:is>
          <x:t xml:space="preserve">P1</x:t>
        </x:is>
      </x:c>
      <x:c r="L6" s="15" t="inlineStr">
        <x:is>
          <x:t xml:space="preserve">Not Started</x:t>
        </x:is>
      </x:c>
      <x:c r="M6" s="16" t="n">
        <x:v>4</x:v>
      </x:c>
      <x:c r="N6" s="13" t="n">
        <x:v>4</x:v>
      </x:c>
      <x:c r="O6" s="13" t="n">
        <x:v>4</x:v>
      </x:c>
      <x:c r="P6" s="13">
        <x:f>O6+ROUNDUP(N6/Inputs!$B$4,0)-1</x:f>
        <x:v>4</x:v>
      </x:c>
      <x:c r="Q6" s="17">
        <x:f>Inputs!$B$3+(O6-1)*Inputs!$B$4</x:f>
        <x:v>46097</x:v>
      </x:c>
      <x:c r="R6" s="17">
        <x:f>Q6+N6-1</x:f>
        <x:v>46100</x:v>
      </x:c>
      <x:c r="S6" s="9" t="inlineStr">
        <x:is>
          <x:t xml:space="preserve">PLY-08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PRC-04</x:t>
        </x:is>
      </x:c>
      <x:c r="B7" s="9" t="inlineStr">
        <x:is>
          <x:t xml:space="preserve">Process</x:t>
        </x:is>
      </x:c>
      <x:c r="C7" s="9" t="inlineStr">
        <x:is>
          <x:t xml:space="preserve">Security</x:t>
        </x:is>
      </x:c>
      <x:c r="D7" s="13" t="n">
        <x:v>2</x:v>
      </x:c>
      <x:c r="E7" s="9" t="inlineStr">
        <x:is>
          <x:t xml:space="preserve">Credential Rotation</x:t>
        </x:is>
      </x:c>
      <x:c r="F7" s="9" t="inlineStr">
        <x:is>
          <x:t xml:space="preserve">Credential rotation workflow</x:t>
        </x:is>
      </x:c>
      <x:c r="G7" s="14" t="inlineStr">
        <x:is>
          <x:t xml:space="preserve">Define rotation steps across vault, Databricks scopes, smoke tests, rollback, evidence capture.</x:t>
        </x:is>
      </x:c>
      <x:c r="H7" s="14" t="inlineStr">
        <x:is>
          <x:t xml:space="preserve">Rotation process flow</x:t>
        </x:is>
      </x:c>
      <x:c r="I7" s="9" t="inlineStr">
        <x:is>
          <x:t xml:space="preserve">Security/Identity Eng</x:t>
        </x:is>
      </x:c>
      <x:c r="J7" s="15" t="inlineStr">
        <x:is>
          <x:t xml:space="preserve">A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3</x:v>
      </x:c>
      <x:c r="N7" s="13" t="n">
        <x:v>3</x:v>
      </x:c>
      <x:c r="O7" s="13" t="n">
        <x:v>6</x:v>
      </x:c>
      <x:c r="P7" s="13">
        <x:f>O7+ROUNDUP(N7/Inputs!$B$4,0)-1</x:f>
        <x:v>6</x:v>
      </x:c>
      <x:c r="Q7" s="17">
        <x:f>Inputs!$B$3+(O7-1)*Inputs!$B$4</x:f>
        <x:v>46111</x:v>
      </x:c>
      <x:c r="R7" s="17">
        <x:f>Q7+N7-1</x:f>
        <x:v>46113</x:v>
      </x:c>
      <x:c r="S7" s="9" t="inlineStr">
        <x:is>
          <x:t xml:space="preserve">PLY-04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9" t="inlineStr">
        <x:is>
          <x:t xml:space="preserve">PRC-05</x:t>
        </x:is>
      </x:c>
      <x:c r="B8" s="9" t="inlineStr">
        <x:is>
          <x:t xml:space="preserve">Process</x:t>
        </x:is>
      </x:c>
      <x:c r="C8" s="9" t="inlineStr">
        <x:is>
          <x:t xml:space="preserve">DevSecOps</x:t>
        </x:is>
      </x:c>
      <x:c r="D8" s="13" t="n">
        <x:v>2</x:v>
      </x:c>
      <x:c r="E8" s="9" t="inlineStr">
        <x:is>
          <x:t xml:space="preserve">Release Management</x:t>
        </x:is>
      </x:c>
      <x:c r="F8" s="9" t="inlineStr">
        <x:is>
          <x:t xml:space="preserve">Promotion workflow (Dev→Stage→Prod)</x:t>
        </x:is>
      </x:c>
      <x:c r="G8" s="14" t="inlineStr">
        <x:is>
          <x:t xml:space="preserve">Define CI/CD stages, approvals, automated checks, deployment verification and rollback.</x:t>
        </x:is>
      </x:c>
      <x:c r="H8" s="14" t="inlineStr">
        <x:is>
          <x:t xml:space="preserve">Release promotion workflow</x:t>
        </x:is>
      </x:c>
      <x:c r="I8" s="9" t="inlineStr">
        <x:is>
          <x:t xml:space="preserve">Release Manager</x:t>
        </x:is>
      </x:c>
      <x:c r="J8" s="15" t="inlineStr">
        <x:is>
          <x:t xml:space="preserve">A</x:t>
        </x:is>
      </x:c>
      <x:c r="K8" s="15" t="inlineStr">
        <x:is>
          <x:t xml:space="preserve">P0</x:t>
        </x:is>
      </x:c>
      <x:c r="L8" s="15" t="inlineStr">
        <x:is>
          <x:t xml:space="preserve">Not Started</x:t>
        </x:is>
      </x:c>
      <x:c r="M8" s="16" t="n">
        <x:v>4</x:v>
      </x:c>
      <x:c r="N8" s="13" t="n">
        <x:v>4</x:v>
      </x:c>
      <x:c r="O8" s="13" t="n">
        <x:v>6</x:v>
      </x:c>
      <x:c r="P8" s="13">
        <x:f>O8+ROUNDUP(N8/Inputs!$B$4,0)-1</x:f>
        <x:v>6</x:v>
      </x:c>
      <x:c r="Q8" s="17">
        <x:f>Inputs!$B$3+(O8-1)*Inputs!$B$4</x:f>
        <x:v>46111</x:v>
      </x:c>
      <x:c r="R8" s="17">
        <x:f>Q8+N8-1</x:f>
        <x:v>46114</x:v>
      </x:c>
      <x:c r="S8" s="9" t="inlineStr">
        <x:is>
          <x:t xml:space="preserve">PLY-07</x:t>
        </x:is>
      </x:c>
      <x:c r="T8" s="15" t="inlineStr">
        <x:is>
          <x:t xml:space="preserve">N</x:t>
        </x:is>
      </x:c>
      <x:c r="U8" s="14" t="inlineStr">
        <x:is>
          <x:t xml:space="preserve"/>
        </x:is>
      </x:c>
    </x:row>
    <x:row r="9" ht="42" customHeight="1">
      <x:c r="A9" s="9" t="inlineStr">
        <x:is>
          <x:t xml:space="preserve">PRC-02</x:t>
        </x:is>
      </x:c>
      <x:c r="B9" s="9" t="inlineStr">
        <x:is>
          <x:t xml:space="preserve">Process</x:t>
        </x:is>
      </x:c>
      <x:c r="C9" s="9" t="inlineStr">
        <x:is>
          <x:t xml:space="preserve">Operations</x:t>
        </x:is>
      </x:c>
      <x:c r="D9" s="13" t="n">
        <x:v>3</x:v>
      </x:c>
      <x:c r="E9" s="9" t="inlineStr">
        <x:is>
          <x:t xml:space="preserve">Incident Management</x:t>
        </x:is>
      </x:c>
      <x:c r="F9" s="9" t="inlineStr">
        <x:is>
          <x:t xml:space="preserve">Incident triage workflow</x:t>
        </x:is>
      </x:c>
      <x:c r="G9" s="14" t="inlineStr">
        <x:is>
          <x:t xml:space="preserve">Define triage steps, ticket creation, severity assignment, communication, escalation and closure.</x:t>
        </x:is>
      </x:c>
      <x:c r="H9" s="14" t="inlineStr">
        <x:is>
          <x:t xml:space="preserve">Incident triage process flow</x:t>
        </x:is>
      </x:c>
      <x:c r="I9" s="9" t="inlineStr">
        <x:is>
          <x:t xml:space="preserve">SRE/Operations</x:t>
        </x:is>
      </x:c>
      <x:c r="J9" s="15" t="inlineStr">
        <x:is>
          <x:t xml:space="preserve">A</x:t>
        </x:is>
      </x:c>
      <x:c r="K9" s="15" t="inlineStr">
        <x:is>
          <x:t xml:space="preserve">P0</x:t>
        </x:is>
      </x:c>
      <x:c r="L9" s="15" t="inlineStr">
        <x:is>
          <x:t xml:space="preserve">Not Started</x:t>
        </x:is>
      </x:c>
      <x:c r="M9" s="16" t="n">
        <x:v>3</x:v>
      </x:c>
      <x:c r="N9" s="13" t="n">
        <x:v>3</x:v>
      </x:c>
      <x:c r="O9" s="13" t="n">
        <x:v>5</x:v>
      </x:c>
      <x:c r="P9" s="13">
        <x:f>O9+ROUNDUP(N9/Inputs!$B$4,0)-1</x:f>
        <x:v>5</x:v>
      </x:c>
      <x:c r="Q9" s="17">
        <x:f>Inputs!$B$3+(O9-1)*Inputs!$B$4</x:f>
        <x:v>46104</x:v>
      </x:c>
      <x:c r="R9" s="17">
        <x:f>Q9+N9-1</x:f>
        <x:v>46106</x:v>
      </x:c>
      <x:c r="S9" s="9" t="inlineStr">
        <x:is>
          <x:t xml:space="preserve">PLY-02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PRC-03</x:t>
        </x:is>
      </x:c>
      <x:c r="B10" s="9" t="inlineStr">
        <x:is>
          <x:t xml:space="preserve">Process</x:t>
        </x:is>
      </x:c>
      <x:c r="C10" s="9" t="inlineStr">
        <x:is>
          <x:t xml:space="preserve">Operations</x:t>
        </x:is>
      </x:c>
      <x:c r="D10" s="13" t="n">
        <x:v>3</x:v>
      </x:c>
      <x:c r="E10" s="9" t="inlineStr">
        <x:is>
          <x:t xml:space="preserve">Alerting</x:t>
        </x:is>
      </x:c>
      <x:c r="F10" s="9" t="inlineStr">
        <x:is>
          <x:t xml:space="preserve">Alert intake &amp; response workflow</x:t>
        </x:is>
      </x:c>
      <x:c r="G10" s="14" t="inlineStr">
        <x:is>
          <x:t xml:space="preserve">Define who gets alerted, how to acknowledge, response time targets, and handoff to domain owners.</x:t>
        </x:is>
      </x:c>
      <x:c r="H10" s="14" t="inlineStr">
        <x:is>
          <x:t xml:space="preserve">Alert response workflow</x:t>
        </x:is>
      </x:c>
      <x:c r="I10" s="9" t="inlineStr">
        <x:is>
          <x:t xml:space="preserve">SRE/Operations</x:t>
        </x:is>
      </x:c>
      <x:c r="J10" s="15" t="inlineStr">
        <x:is>
          <x:t xml:space="preserve">A</x:t>
        </x:is>
      </x:c>
      <x:c r="K10" s="15" t="inlineStr">
        <x:is>
          <x:t xml:space="preserve">P0</x:t>
        </x:is>
      </x:c>
      <x:c r="L10" s="15" t="inlineStr">
        <x:is>
          <x:t xml:space="preserve">Not Started</x:t>
        </x:is>
      </x:c>
      <x:c r="M10" s="16" t="n">
        <x:v>3</x:v>
      </x:c>
      <x:c r="N10" s="13" t="n">
        <x:v>3</x:v>
      </x:c>
      <x:c r="O10" s="13" t="n">
        <x:v>5</x:v>
      </x:c>
      <x:c r="P10" s="13">
        <x:f>O10+ROUNDUP(N10/Inputs!$B$4,0)-1</x:f>
        <x:v>5</x:v>
      </x:c>
      <x:c r="Q10" s="17">
        <x:f>Inputs!$B$3+(O10-1)*Inputs!$B$4</x:f>
        <x:v>46104</x:v>
      </x:c>
      <x:c r="R10" s="17">
        <x:f>Q10+N10-1</x:f>
        <x:v>46106</x:v>
      </x:c>
      <x:c r="S10" s="9" t="inlineStr">
        <x:is>
          <x:t xml:space="preserve">PLY-09,PRC-02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PRC-14</x:t>
        </x:is>
      </x:c>
      <x:c r="B11" s="9" t="inlineStr">
        <x:is>
          <x:t xml:space="preserve">Process</x:t>
        </x:is>
      </x:c>
      <x:c r="C11" s="9" t="inlineStr">
        <x:is>
          <x:t xml:space="preserve">Operations</x:t>
        </x:is>
      </x:c>
      <x:c r="D11" s="13" t="n">
        <x:v>3</x:v>
      </x:c>
      <x:c r="E11" s="9" t="inlineStr">
        <x:is>
          <x:t xml:space="preserve">Communications</x:t>
        </x:is>
      </x:c>
      <x:c r="F11" s="9" t="inlineStr">
        <x:is>
          <x:t xml:space="preserve">Status communications &amp; stakeholder updates process</x:t>
        </x:is>
      </x:c>
      <x:c r="G11" s="14" t="inlineStr">
        <x:is>
          <x:t xml:space="preserve">Define comms channels, frequency, templates for incidents and planned changes.</x:t>
        </x:is>
      </x:c>
      <x:c r="H11" s="14" t="inlineStr">
        <x:is>
          <x:t xml:space="preserve">Comms process + templates</x:t>
        </x:is>
      </x:c>
      <x:c r="I11" s="9" t="inlineStr">
        <x:is>
          <x:t xml:space="preserve">Product Owner</x:t>
        </x:is>
      </x:c>
      <x:c r="J11" s="15" t="inlineStr">
        <x:is>
          <x:t xml:space="preserve">A</x:t>
        </x:is>
      </x:c>
      <x:c r="K11" s="15" t="inlineStr">
        <x:is>
          <x:t xml:space="preserve">P2</x:t>
        </x:is>
      </x:c>
      <x:c r="L11" s="15" t="inlineStr">
        <x:is>
          <x:t xml:space="preserve">Not Started</x:t>
        </x:is>
      </x:c>
      <x:c r="M11" s="16" t="n">
        <x:v>2</x:v>
      </x:c>
      <x:c r="N11" s="13" t="n">
        <x:v>2</x:v>
      </x:c>
      <x:c r="O11" s="13" t="n">
        <x:v>8</x:v>
      </x:c>
      <x:c r="P11" s="13">
        <x:f>O11+ROUNDUP(N11/Inputs!$B$4,0)-1</x:f>
        <x:v>8</x:v>
      </x:c>
      <x:c r="Q11" s="17">
        <x:f>Inputs!$B$3+(O11-1)*Inputs!$B$4</x:f>
        <x:v>46125</x:v>
      </x:c>
      <x:c r="R11" s="17">
        <x:f>Q11+N11-1</x:f>
        <x:v>46126</x:v>
      </x:c>
      <x:c r="S11" s="9" t="inlineStr">
        <x:is>
          <x:t xml:space="preserve">PRC-02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PRC-06</x:t>
        </x:is>
      </x:c>
      <x:c r="B12" s="9" t="inlineStr">
        <x:is>
          <x:t xml:space="preserve">Process</x:t>
        </x:is>
      </x:c>
      <x:c r="C12" s="9" t="inlineStr">
        <x:is>
          <x:t xml:space="preserve">Governance</x:t>
        </x:is>
      </x:c>
      <x:c r="D12" s="13" t="n">
        <x:v>4</x:v>
      </x:c>
      <x:c r="E12" s="9" t="inlineStr">
        <x:is>
          <x:t xml:space="preserve">Source Onboarding</x:t>
        </x:is>
      </x:c>
      <x:c r="F12" s="9" t="inlineStr">
        <x:is>
          <x:t xml:space="preserve">Source onboarding end-to-end process</x:t>
        </x:is>
      </x:c>
      <x:c r="G12" s="14" t="inlineStr">
        <x:is>
          <x:t xml:space="preserve">Intake → validation → secrets provision → config publish → test → prod enablement → handover.</x:t>
        </x:is>
      </x:c>
      <x:c r="H12" s="14" t="inlineStr">
        <x:is>
          <x:t xml:space="preserve">Onboarding process + checklist</x:t>
        </x:is>
      </x:c>
      <x:c r="I12" s="9" t="inlineStr">
        <x:is>
          <x:t xml:space="preserve">Data Platform Architect</x:t>
        </x:is>
      </x:c>
      <x:c r="J12" s="15" t="inlineStr">
        <x:is>
          <x:t xml:space="preserve">A</x:t>
        </x:is>
      </x:c>
      <x:c r="K12" s="15" t="inlineStr">
        <x:is>
          <x:t xml:space="preserve">P1</x:t>
        </x:is>
      </x:c>
      <x:c r="L12" s="15" t="inlineStr">
        <x:is>
          <x:t xml:space="preserve">Not Started</x:t>
        </x:is>
      </x:c>
      <x:c r="M12" s="16" t="n">
        <x:v>5</x:v>
      </x:c>
      <x:c r="N12" s="13" t="n">
        <x:v>5</x:v>
      </x:c>
      <x:c r="O12" s="13" t="n">
        <x:v>7</x:v>
      </x:c>
      <x:c r="P12" s="13">
        <x:f>O12+ROUNDUP(N12/Inputs!$B$4,0)-1</x:f>
        <x:v>7</x:v>
      </x:c>
      <x:c r="Q12" s="17">
        <x:f>Inputs!$B$3+(O12-1)*Inputs!$B$4</x:f>
        <x:v>46118</x:v>
      </x:c>
      <x:c r="R12" s="17">
        <x:f>Q12+N12-1</x:f>
        <x:v>46122</x:v>
      </x:c>
      <x:c r="S12" s="9" t="inlineStr">
        <x:is>
          <x:t xml:space="preserve">PLY-14,PRC-01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PRC-08</x:t>
        </x:is>
      </x:c>
      <x:c r="B13" s="9" t="inlineStr">
        <x:is>
          <x:t xml:space="preserve">Process</x:t>
        </x:is>
      </x:c>
      <x:c r="C13" s="9" t="inlineStr">
        <x:is>
          <x:t xml:space="preserve">Operations</x:t>
        </x:is>
      </x:c>
      <x:c r="D13" s="13" t="n">
        <x:v>4</x:v>
      </x:c>
      <x:c r="E13" s="9" t="inlineStr">
        <x:is>
          <x:t xml:space="preserve">Backfill</x:t>
        </x:is>
      </x:c>
      <x:c r="F13" s="9" t="inlineStr">
        <x:is>
          <x:t xml:space="preserve">Backfill request and execution process</x:t>
        </x:is>
      </x:c>
      <x:c r="G13" s="14" t="inlineStr">
        <x:is>
          <x:t xml:space="preserve">Define intake, approvals, compute planning, execution, validation and cost tracking for backfills.</x:t>
        </x:is>
      </x:c>
      <x:c r="H13" s="14" t="inlineStr">
        <x:is>
          <x:t xml:space="preserve">Backfill process</x:t>
        </x:is>
      </x:c>
      <x:c r="I13" s="9" t="inlineStr">
        <x:is>
          <x:t xml:space="preserve">Data Engineer</x:t>
        </x:is>
      </x:c>
      <x:c r="J13" s="15" t="inlineStr">
        <x:is>
          <x:t xml:space="preserve">R</x:t>
        </x:is>
      </x:c>
      <x:c r="K13" s="15" t="inlineStr">
        <x:is>
          <x:t xml:space="preserve">P2</x:t>
        </x:is>
      </x:c>
      <x:c r="L13" s="15" t="inlineStr">
        <x:is>
          <x:t xml:space="preserve">Not Started</x:t>
        </x:is>
      </x:c>
      <x:c r="M13" s="16" t="n">
        <x:v>3</x:v>
      </x:c>
      <x:c r="N13" s="13" t="n">
        <x:v>3</x:v>
      </x:c>
      <x:c r="O13" s="13" t="n">
        <x:v>9</x:v>
      </x:c>
      <x:c r="P13" s="13">
        <x:f>O13+ROUNDUP(N13/Inputs!$B$4,0)-1</x:f>
        <x:v>9</x:v>
      </x:c>
      <x:c r="Q13" s="17">
        <x:f>Inputs!$B$3+(O13-1)*Inputs!$B$4</x:f>
        <x:v>46132</x:v>
      </x:c>
      <x:c r="R13" s="17">
        <x:f>Q13+N13-1</x:f>
        <x:v>46134</x:v>
      </x:c>
      <x:c r="S13" s="9" t="inlineStr">
        <x:is>
          <x:t xml:space="preserve">PLY-07,PRC-05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PRC-09</x:t>
        </x:is>
      </x:c>
      <x:c r="B14" s="9" t="inlineStr">
        <x:is>
          <x:t xml:space="preserve">Process</x:t>
        </x:is>
      </x:c>
      <x:c r="C14" s="9" t="inlineStr">
        <x:is>
          <x:t xml:space="preserve">Operations</x:t>
        </x:is>
      </x:c>
      <x:c r="D14" s="13" t="n">
        <x:v>4</x:v>
      </x:c>
      <x:c r="E14" s="9" t="inlineStr">
        <x:is>
          <x:t xml:space="preserve">Replay/DLQ</x:t>
        </x:is>
      </x:c>
      <x:c r="F14" s="9" t="inlineStr">
        <x:is>
          <x:t xml:space="preserve">DLQ reprocessing process</x:t>
        </x:is>
      </x:c>
      <x:c r="G14" s="14" t="inlineStr">
        <x:is>
          <x:t xml:space="preserve">Define criteria for reprocessing DLQ, approvals, replay execution, and verification steps.</x:t>
        </x:is>
      </x:c>
      <x:c r="H14" s="14" t="inlineStr">
        <x:is>
          <x:t xml:space="preserve">DLQ replay process</x:t>
        </x:is>
      </x:c>
      <x:c r="I14" s="9" t="inlineStr">
        <x:is>
          <x:t xml:space="preserve">SRE/Operations</x:t>
        </x:is>
      </x:c>
      <x:c r="J14" s="15" t="inlineStr">
        <x:is>
          <x:t xml:space="preserve">R</x:t>
        </x:is>
      </x:c>
      <x:c r="K14" s="15" t="inlineStr">
        <x:is>
          <x:t xml:space="preserve">P1</x:t>
        </x:is>
      </x:c>
      <x:c r="L14" s="15" t="inlineStr">
        <x:is>
          <x:t xml:space="preserve">Not Started</x:t>
        </x:is>
      </x:c>
      <x:c r="M14" s="16" t="n">
        <x:v>3</x:v>
      </x:c>
      <x:c r="N14" s="13" t="n">
        <x:v>3</x:v>
      </x:c>
      <x:c r="O14" s="13" t="n">
        <x:v>9</x:v>
      </x:c>
      <x:c r="P14" s="13">
        <x:f>O14+ROUNDUP(N14/Inputs!$B$4,0)-1</x:f>
        <x:v>9</x:v>
      </x:c>
      <x:c r="Q14" s="17">
        <x:f>Inputs!$B$3+(O14-1)*Inputs!$B$4</x:f>
        <x:v>46132</x:v>
      </x:c>
      <x:c r="R14" s="17">
        <x:f>Q14+N14-1</x:f>
        <x:v>46134</x:v>
      </x:c>
      <x:c r="S14" s="9" t="inlineStr">
        <x:is>
          <x:t xml:space="preserve">PRC-02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PRC-07</x:t>
        </x:is>
      </x:c>
      <x:c r="B15" s="9" t="inlineStr">
        <x:is>
          <x:t xml:space="preserve">Process</x:t>
        </x:is>
      </x:c>
      <x:c r="C15" s="9" t="inlineStr">
        <x:is>
          <x:t xml:space="preserve">Governance</x:t>
        </x:is>
      </x:c>
      <x:c r="D15" s="13" t="n">
        <x:v>5</x:v>
      </x:c>
      <x:c r="E15" s="9" t="inlineStr">
        <x:is>
          <x:t xml:space="preserve">Access Review</x:t>
        </x:is>
      </x:c>
      <x:c r="F15" s="9" t="inlineStr">
        <x:is>
          <x:t xml:space="preserve">Periodic access review process</x:t>
        </x:is>
      </x:c>
      <x:c r="G15" s="14" t="inlineStr">
        <x:is>
          <x:t xml:space="preserve">Define cadence (e.g., quarterly), review steps, evidence capture, and remediation workflow.</x:t>
        </x:is>
      </x:c>
      <x:c r="H15" s="14" t="inlineStr">
        <x:is>
          <x:t xml:space="preserve">Access review process</x:t>
        </x:is>
      </x:c>
      <x:c r="I15" s="9" t="inlineStr">
        <x:is>
          <x:t xml:space="preserve">Security/Identity Eng</x:t>
        </x:is>
      </x:c>
      <x:c r="J15" s="15" t="inlineStr">
        <x:is>
          <x:t xml:space="preserve">A</x:t>
        </x:is>
      </x:c>
      <x:c r="K15" s="15" t="inlineStr">
        <x:is>
          <x:t xml:space="preserve">P1</x:t>
        </x:is>
      </x:c>
      <x:c r="L15" s="15" t="inlineStr">
        <x:is>
          <x:t xml:space="preserve">Not Started</x:t>
        </x:is>
      </x:c>
      <x:c r="M15" s="16" t="n">
        <x:v>3</x:v>
      </x:c>
      <x:c r="N15" s="13" t="n">
        <x:v>3</x:v>
      </x:c>
      <x:c r="O15" s="13" t="n">
        <x:v>10</x:v>
      </x:c>
      <x:c r="P15" s="13">
        <x:f>O15+ROUNDUP(N15/Inputs!$B$4,0)-1</x:f>
        <x:v>10</x:v>
      </x:c>
      <x:c r="Q15" s="17">
        <x:f>Inputs!$B$3+(O15-1)*Inputs!$B$4</x:f>
        <x:v>46139</x:v>
      </x:c>
      <x:c r="R15" s="17">
        <x:f>Q15+N15-1</x:f>
        <x:v>46141</x:v>
      </x:c>
      <x:c r="S15" s="9" t="inlineStr">
        <x:is>
          <x:t xml:space="preserve">PLY-11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PRC-12</x:t>
        </x:is>
      </x:c>
      <x:c r="B16" s="9" t="inlineStr">
        <x:is>
          <x:t xml:space="preserve">Process</x:t>
        </x:is>
      </x:c>
      <x:c r="C16" s="9" t="inlineStr">
        <x:is>
          <x:t xml:space="preserve">Governance</x:t>
        </x:is>
      </x:c>
      <x:c r="D16" s="13" t="n">
        <x:v>5</x:v>
      </x:c>
      <x:c r="E16" s="9" t="inlineStr">
        <x:is>
          <x:t xml:space="preserve">Decommission</x:t>
        </x:is>
      </x:c>
      <x:c r="F16" s="9" t="inlineStr">
        <x:is>
          <x:t xml:space="preserve">Source decommission workflow</x:t>
        </x:is>
      </x:c>
      <x:c r="G16" s="14" t="inlineStr">
        <x:is>
          <x:t xml:space="preserve">Define steps to disable schedules, archive configs, retain data, and notify consumers.</x:t>
        </x:is>
      </x:c>
      <x:c r="H16" s="14" t="inlineStr">
        <x:is>
          <x:t xml:space="preserve">Decommission workflow</x:t>
        </x:is>
      </x:c>
      <x:c r="I16" s="9" t="inlineStr">
        <x:is>
          <x:t xml:space="preserve">Product Owner</x:t>
        </x:is>
      </x:c>
      <x:c r="J16" s="15" t="inlineStr">
        <x:is>
          <x:t xml:space="preserve">A</x:t>
        </x:is>
      </x:c>
      <x:c r="K16" s="15" t="inlineStr">
        <x:is>
          <x:t xml:space="preserve">P3</x:t>
        </x:is>
      </x:c>
      <x:c r="L16" s="15" t="inlineStr">
        <x:is>
          <x:t xml:space="preserve">Not Started</x:t>
        </x:is>
      </x:c>
      <x:c r="M16" s="16" t="n">
        <x:v>2</x:v>
      </x:c>
      <x:c r="N16" s="13" t="n">
        <x:v>2</x:v>
      </x:c>
      <x:c r="O16" s="13" t="n">
        <x:v>14</x:v>
      </x:c>
      <x:c r="P16" s="13">
        <x:f>O16+ROUNDUP(N16/Inputs!$B$4,0)-1</x:f>
        <x:v>14</x:v>
      </x:c>
      <x:c r="Q16" s="17">
        <x:f>Inputs!$B$3+(O16-1)*Inputs!$B$4</x:f>
        <x:v>46167</x:v>
      </x:c>
      <x:c r="R16" s="17">
        <x:f>Q16+N16-1</x:f>
        <x:v>46168</x:v>
      </x:c>
      <x:c r="S16" s="9" t="inlineStr">
        <x:is>
          <x:t xml:space="preserve">PLY-15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PRC-10</x:t>
        </x:is>
      </x:c>
      <x:c r="B17" s="9" t="inlineStr">
        <x:is>
          <x:t xml:space="preserve">Process</x:t>
        </x:is>
      </x:c>
      <x:c r="C17" s="9" t="inlineStr">
        <x:is>
          <x:t xml:space="preserve">Operations</x:t>
        </x:is>
      </x:c>
      <x:c r="D17" s="13" t="n">
        <x:v>6</x:v>
      </x:c>
      <x:c r="E17" s="9" t="inlineStr">
        <x:is>
          <x:t xml:space="preserve">Operational Readiness</x:t>
        </x:is>
      </x:c>
      <x:c r="F17" s="9" t="inlineStr">
        <x:is>
          <x:t xml:space="preserve">Operational Readiness Review (ORR) process</x:t>
        </x:is>
      </x:c>
      <x:c r="G17" s="14" t="inlineStr">
        <x:is>
          <x:t xml:space="preserve">Define ORR checklist, gates, evidence requirements and signoff.</x:t>
        </x:is>
      </x:c>
      <x:c r="H17" s="14" t="inlineStr">
        <x:is>
          <x:t xml:space="preserve">ORR process &amp; checklist</x:t>
        </x:is>
      </x:c>
      <x:c r="I17" s="9" t="inlineStr">
        <x:is>
          <x:t xml:space="preserve">SRE/Operations</x:t>
        </x:is>
      </x:c>
      <x:c r="J17" s="15" t="inlineStr">
        <x:is>
          <x:t xml:space="preserve">A</x:t>
        </x:is>
      </x:c>
      <x:c r="K17" s="15" t="inlineStr">
        <x:is>
          <x:t xml:space="preserve">P0</x:t>
        </x:is>
      </x:c>
      <x:c r="L17" s="15" t="inlineStr">
        <x:is>
          <x:t xml:space="preserve">Not Started</x:t>
        </x:is>
      </x:c>
      <x:c r="M17" s="16" t="n">
        <x:v>4</x:v>
      </x:c>
      <x:c r="N17" s="13" t="n">
        <x:v>4</x:v>
      </x:c>
      <x:c r="O17" s="13" t="n">
        <x:v>11</x:v>
      </x:c>
      <x:c r="P17" s="13">
        <x:f>O17+ROUNDUP(N17/Inputs!$B$4,0)-1</x:f>
        <x:v>11</x:v>
      </x:c>
      <x:c r="Q17" s="17">
        <x:f>Inputs!$B$3+(O17-1)*Inputs!$B$4</x:f>
        <x:v>46146</x:v>
      </x:c>
      <x:c r="R17" s="17">
        <x:f>Q17+N17-1</x:f>
        <x:v>46149</x:v>
      </x:c>
      <x:c r="S17" s="9" t="inlineStr">
        <x:is>
          <x:t xml:space="preserve">PLY-02,PLY-09,PLY-07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PRC-11</x:t>
        </x:is>
      </x:c>
      <x:c r="B18" s="9" t="inlineStr">
        <x:is>
          <x:t xml:space="preserve">Process</x:t>
        </x:is>
      </x:c>
      <x:c r="C18" s="9" t="inlineStr">
        <x:is>
          <x:t xml:space="preserve">Operations</x:t>
        </x:is>
      </x:c>
      <x:c r="D18" s="13" t="n">
        <x:v>6</x:v>
      </x:c>
      <x:c r="E18" s="9" t="inlineStr">
        <x:is>
          <x:t xml:space="preserve">Game Days</x:t>
        </x:is>
      </x:c>
      <x:c r="F18" s="9" t="inlineStr">
        <x:is>
          <x:t xml:space="preserve">Game day &amp; DR drill process</x:t>
        </x:is>
      </x:c>
      <x:c r="G18" s="14" t="inlineStr">
        <x:is>
          <x:t xml:space="preserve">Define how to simulate outages (vendor outage, token expiry, schema break), roles and success criteria.</x:t>
        </x:is>
      </x:c>
      <x:c r="H18" s="14" t="inlineStr">
        <x:is>
          <x:t xml:space="preserve">Game day process</x:t>
        </x:is>
      </x:c>
      <x:c r="I18" s="9" t="inlineStr">
        <x:is>
          <x:t xml:space="preserve">SRE/Operations</x:t>
        </x:is>
      </x:c>
      <x:c r="J18" s="15" t="inlineStr">
        <x:is>
          <x:t xml:space="preserve">A</x:t>
        </x:is>
      </x:c>
      <x:c r="K18" s="15" t="inlineStr">
        <x:is>
          <x:t xml:space="preserve">P1</x:t>
        </x:is>
      </x:c>
      <x:c r="L18" s="15" t="inlineStr">
        <x:is>
          <x:t xml:space="preserve">Not Started</x:t>
        </x:is>
      </x:c>
      <x:c r="M18" s="16" t="n">
        <x:v>3</x:v>
      </x:c>
      <x:c r="N18" s="13" t="n">
        <x:v>3</x:v>
      </x:c>
      <x:c r="O18" s="13" t="n">
        <x:v>12</x:v>
      </x:c>
      <x:c r="P18" s="13">
        <x:f>O18+ROUNDUP(N18/Inputs!$B$4,0)-1</x:f>
        <x:v>12</x:v>
      </x:c>
      <x:c r="Q18" s="17">
        <x:f>Inputs!$B$3+(O18-1)*Inputs!$B$4</x:f>
        <x:v>46153</x:v>
      </x:c>
      <x:c r="R18" s="17">
        <x:f>Q18+N18-1</x:f>
        <x:v>46155</x:v>
      </x:c>
      <x:c r="S18" s="9" t="inlineStr">
        <x:is>
          <x:t xml:space="preserve">PRC-10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</x:sheetData>
  <x:mergeCells>
    <x:mergeCell ref="A1:U1"/>
    <x:mergeCell ref="A2:U2"/>
  </x:mergeCells>
  <x:conditionalFormatting sqref="K4:K18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18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18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Procedure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SOP-09</x:t>
        </x:is>
      </x:c>
      <x:c r="B4" s="9" t="inlineStr">
        <x:is>
          <x:t xml:space="preserve">Procedure</x:t>
        </x:is>
      </x:c>
      <x:c r="C4" s="9" t="inlineStr">
        <x:is>
          <x:t xml:space="preserve">Security</x:t>
        </x:is>
      </x:c>
      <x:c r="D4" s="13" t="n">
        <x:v>2</x:v>
      </x:c>
      <x:c r="E4" s="9" t="inlineStr">
        <x:is>
          <x:t xml:space="preserve">SOP</x:t>
        </x:is>
      </x:c>
      <x:c r="F4" s="9" t="inlineStr">
        <x:is>
          <x:t xml:space="preserve">SOP: Create and configure service principal for jobs</x:t>
        </x:is>
      </x:c>
      <x:c r="G4" s="14" t="inlineStr">
        <x:is>
          <x:t xml:space="preserve">Procedure to create SPN, assign UC permissions, attach to jobs, validate least privilege.</x:t>
        </x:is>
      </x:c>
      <x:c r="H4" s="14" t="inlineStr">
        <x:is>
          <x:t xml:space="preserve">Service principal SOP</x:t>
        </x:is>
      </x:c>
      <x:c r="I4" s="9" t="inlineStr">
        <x:is>
          <x:t xml:space="preserve">Security/Identity Eng</x:t>
        </x:is>
      </x:c>
      <x:c r="J4" s="15" t="inlineStr">
        <x:is>
          <x:t xml:space="preserve">R</x:t>
        </x:is>
      </x:c>
      <x:c r="K4" s="15" t="inlineStr">
        <x:is>
          <x:t xml:space="preserve">P0</x:t>
        </x:is>
      </x:c>
      <x:c r="L4" s="15" t="inlineStr">
        <x:is>
          <x:t xml:space="preserve">Not Started</x:t>
        </x:is>
      </x:c>
      <x:c r="M4" s="16" t="n">
        <x:v>3</x:v>
      </x:c>
      <x:c r="N4" s="13" t="n">
        <x:v>3</x:v>
      </x:c>
      <x:c r="O4" s="13" t="n">
        <x:v>6</x:v>
      </x:c>
      <x:c r="P4" s="13">
        <x:f>O4+ROUNDUP(N4/Inputs!$B$4,0)-1</x:f>
        <x:v>6</x:v>
      </x:c>
      <x:c r="Q4" s="17">
        <x:f>Inputs!$B$3+(O4-1)*Inputs!$B$4</x:f>
        <x:v>46111</x:v>
      </x:c>
      <x:c r="R4" s="17">
        <x:f>Q4+N4-1</x:f>
        <x:v>46113</x:v>
      </x:c>
      <x:c r="S4" s="9" t="inlineStr">
        <x:is>
          <x:t xml:space="preserve">PLY-03</x:t>
        </x:is>
      </x:c>
      <x:c r="T4" s="15" t="inlineStr">
        <x:is>
          <x:t xml:space="preserve">N</x:t>
        </x:is>
      </x:c>
      <x:c r="U4" s="14" t="inlineStr">
        <x:is>
          <x:t xml:space="preserve"/>
        </x:is>
      </x:c>
    </x:row>
    <x:row r="5" ht="42" customHeight="1">
      <x:c r="A5" s="9" t="inlineStr">
        <x:is>
          <x:t xml:space="preserve">SOP-10</x:t>
        </x:is>
      </x:c>
      <x:c r="B5" s="9" t="inlineStr">
        <x:is>
          <x:t xml:space="preserve">Procedure</x:t>
        </x:is>
      </x:c>
      <x:c r="C5" s="9" t="inlineStr">
        <x:is>
          <x:t xml:space="preserve">Security</x:t>
        </x:is>
      </x:c>
      <x:c r="D5" s="13" t="n">
        <x:v>2</x:v>
      </x:c>
      <x:c r="E5" s="9" t="inlineStr">
        <x:is>
          <x:t xml:space="preserve">SOP</x:t>
        </x:is>
      </x:c>
      <x:c r="F5" s="9" t="inlineStr">
        <x:is>
          <x:t xml:space="preserve">SOP: Credential rotation execution</x:t>
        </x:is>
      </x:c>
      <x:c r="G5" s="14" t="inlineStr">
        <x:is>
          <x:t xml:space="preserve">Step-by-step rotation execution including smoke tests, rollback, and evidence capture.</x:t>
        </x:is>
      </x:c>
      <x:c r="H5" s="14" t="inlineStr">
        <x:is>
          <x:t xml:space="preserve">Rotation SOP</x:t>
        </x:is>
      </x:c>
      <x:c r="I5" s="9" t="inlineStr">
        <x:is>
          <x:t xml:space="preserve">Security/Identity Eng</x:t>
        </x:is>
      </x:c>
      <x:c r="J5" s="15" t="inlineStr">
        <x:is>
          <x:t xml:space="preserve">R</x:t>
        </x:is>
      </x:c>
      <x:c r="K5" s="15" t="inlineStr">
        <x:is>
          <x:t xml:space="preserve">P0</x:t>
        </x:is>
      </x:c>
      <x:c r="L5" s="15" t="inlineStr">
        <x:is>
          <x:t xml:space="preserve">Not Started</x:t>
        </x:is>
      </x:c>
      <x:c r="M5" s="16" t="n">
        <x:v>3</x:v>
      </x:c>
      <x:c r="N5" s="13" t="n">
        <x:v>3</x:v>
      </x:c>
      <x:c r="O5" s="13" t="n">
        <x:v>7</x:v>
      </x:c>
      <x:c r="P5" s="13">
        <x:f>O5+ROUNDUP(N5/Inputs!$B$4,0)-1</x:f>
        <x:v>7</x:v>
      </x:c>
      <x:c r="Q5" s="17">
        <x:f>Inputs!$B$3+(O5-1)*Inputs!$B$4</x:f>
        <x:v>46118</x:v>
      </x:c>
      <x:c r="R5" s="17">
        <x:f>Q5+N5-1</x:f>
        <x:v>46120</x:v>
      </x:c>
      <x:c r="S5" s="9" t="inlineStr">
        <x:is>
          <x:t xml:space="preserve">PRC-04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SOP-11</x:t>
        </x:is>
      </x:c>
      <x:c r="B6" s="9" t="inlineStr">
        <x:is>
          <x:t xml:space="preserve">Procedure</x:t>
        </x:is>
      </x:c>
      <x:c r="C6" s="9" t="inlineStr">
        <x:is>
          <x:t xml:space="preserve">DevSecOps</x:t>
        </x:is>
      </x:c>
      <x:c r="D6" s="13" t="n">
        <x:v>2</x:v>
      </x:c>
      <x:c r="E6" s="9" t="inlineStr">
        <x:is>
          <x:t xml:space="preserve">SOP</x:t>
        </x:is>
      </x:c>
      <x:c r="F6" s="9" t="inlineStr">
        <x:is>
          <x:t xml:space="preserve">SOP: Production deployment (standard release)</x:t>
        </x:is>
      </x:c>
      <x:c r="G6" s="14" t="inlineStr">
        <x:is>
          <x:t xml:space="preserve">Steps for release manager and approvers to promote artifacts, verify and rollback.</x:t>
        </x:is>
      </x:c>
      <x:c r="H6" s="14" t="inlineStr">
        <x:is>
          <x:t xml:space="preserve">Deployment SOP</x:t>
        </x:is>
      </x:c>
      <x:c r="I6" s="9" t="inlineStr">
        <x:is>
          <x:t xml:space="preserve">Release Manager</x:t>
        </x:is>
      </x:c>
      <x:c r="J6" s="15" t="inlineStr">
        <x:is>
          <x:t xml:space="preserve">R</x:t>
        </x:is>
      </x:c>
      <x:c r="K6" s="15" t="inlineStr">
        <x:is>
          <x:t xml:space="preserve">P0</x:t>
        </x:is>
      </x:c>
      <x:c r="L6" s="15" t="inlineStr">
        <x:is>
          <x:t xml:space="preserve">Not Started</x:t>
        </x:is>
      </x:c>
      <x:c r="M6" s="16" t="n">
        <x:v>3</x:v>
      </x:c>
      <x:c r="N6" s="13" t="n">
        <x:v>3</x:v>
      </x:c>
      <x:c r="O6" s="13" t="n">
        <x:v>8</x:v>
      </x:c>
      <x:c r="P6" s="13">
        <x:f>O6+ROUNDUP(N6/Inputs!$B$4,0)-1</x:f>
        <x:v>8</x:v>
      </x:c>
      <x:c r="Q6" s="17">
        <x:f>Inputs!$B$3+(O6-1)*Inputs!$B$4</x:f>
        <x:v>46125</x:v>
      </x:c>
      <x:c r="R6" s="17">
        <x:f>Q6+N6-1</x:f>
        <x:v>46127</x:v>
      </x:c>
      <x:c r="S6" s="9" t="inlineStr">
        <x:is>
          <x:t xml:space="preserve">PRC-05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SOP-12</x:t>
        </x:is>
      </x:c>
      <x:c r="B7" s="9" t="inlineStr">
        <x:is>
          <x:t xml:space="preserve">Procedure</x:t>
        </x:is>
      </x:c>
      <x:c r="C7" s="9" t="inlineStr">
        <x:is>
          <x:t xml:space="preserve">DevSecOps</x:t>
        </x:is>
      </x:c>
      <x:c r="D7" s="13" t="n">
        <x:v>2</x:v>
      </x:c>
      <x:c r="E7" s="9" t="inlineStr">
        <x:is>
          <x:t xml:space="preserve">SOP</x:t>
        </x:is>
      </x:c>
      <x:c r="F7" s="9" t="inlineStr">
        <x:is>
          <x:t xml:space="preserve">SOP: Emergency hotfix</x:t>
        </x:is>
      </x:c>
      <x:c r="G7" s="14" t="inlineStr">
        <x:is>
          <x:t xml:space="preserve">Steps for urgent changes with expedited approvals and post-facto review requirements.</x:t>
        </x:is>
      </x:c>
      <x:c r="H7" s="14" t="inlineStr">
        <x:is>
          <x:t xml:space="preserve">Hotfix SOP</x:t>
        </x:is>
      </x:c>
      <x:c r="I7" s="9" t="inlineStr">
        <x:is>
          <x:t xml:space="preserve">Release Manager</x:t>
        </x:is>
      </x:c>
      <x:c r="J7" s="15" t="inlineStr">
        <x:is>
          <x:t xml:space="preserve">R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2</x:v>
      </x:c>
      <x:c r="N7" s="13" t="n">
        <x:v>2</x:v>
      </x:c>
      <x:c r="O7" s="13" t="n">
        <x:v>9</x:v>
      </x:c>
      <x:c r="P7" s="13">
        <x:f>O7+ROUNDUP(N7/Inputs!$B$4,0)-1</x:f>
        <x:v>9</x:v>
      </x:c>
      <x:c r="Q7" s="17">
        <x:f>Inputs!$B$3+(O7-1)*Inputs!$B$4</x:f>
        <x:v>46132</x:v>
      </x:c>
      <x:c r="R7" s="17">
        <x:f>Q7+N7-1</x:f>
        <x:v>46133</x:v>
      </x:c>
      <x:c r="S7" s="9" t="inlineStr">
        <x:is>
          <x:t xml:space="preserve">PLY-07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9" t="inlineStr">
        <x:is>
          <x:t xml:space="preserve">SOP-13</x:t>
        </x:is>
      </x:c>
      <x:c r="B8" s="9" t="inlineStr">
        <x:is>
          <x:t xml:space="preserve">Procedure</x:t>
        </x:is>
      </x:c>
      <x:c r="C8" s="9" t="inlineStr">
        <x:is>
          <x:t xml:space="preserve">Governance</x:t>
        </x:is>
      </x:c>
      <x:c r="D8" s="13" t="n">
        <x:v>2</x:v>
      </x:c>
      <x:c r="E8" s="9" t="inlineStr">
        <x:is>
          <x:t xml:space="preserve">SOP</x:t>
        </x:is>
      </x:c>
      <x:c r="F8" s="9" t="inlineStr">
        <x:is>
          <x:t xml:space="preserve">SOP: Quarterly access review execution</x:t>
        </x:is>
      </x:c>
      <x:c r="G8" s="14" t="inlineStr">
        <x:is>
          <x:t xml:space="preserve">How to export permissions, review against policy, collect signoffs, remediate and record evidence.</x:t>
        </x:is>
      </x:c>
      <x:c r="H8" s="14" t="inlineStr">
        <x:is>
          <x:t xml:space="preserve">Access review SOP</x:t>
        </x:is>
      </x:c>
      <x:c r="I8" s="9" t="inlineStr">
        <x:is>
          <x:t xml:space="preserve">Security/Identity Eng</x:t>
        </x:is>
      </x:c>
      <x:c r="J8" s="15" t="inlineStr">
        <x:is>
          <x:t xml:space="preserve">R</x:t>
        </x:is>
      </x:c>
      <x:c r="K8" s="15" t="inlineStr">
        <x:is>
          <x:t xml:space="preserve">P1</x:t>
        </x:is>
      </x:c>
      <x:c r="L8" s="15" t="inlineStr">
        <x:is>
          <x:t xml:space="preserve">Not Started</x:t>
        </x:is>
      </x:c>
      <x:c r="M8" s="16" t="n">
        <x:v>2</x:v>
      </x:c>
      <x:c r="N8" s="13" t="n">
        <x:v>2</x:v>
      </x:c>
      <x:c r="O8" s="13" t="n">
        <x:v>11</x:v>
      </x:c>
      <x:c r="P8" s="13">
        <x:f>O8+ROUNDUP(N8/Inputs!$B$4,0)-1</x:f>
        <x:v>11</x:v>
      </x:c>
      <x:c r="Q8" s="17">
        <x:f>Inputs!$B$3+(O8-1)*Inputs!$B$4</x:f>
        <x:v>46146</x:v>
      </x:c>
      <x:c r="R8" s="17">
        <x:f>Q8+N8-1</x:f>
        <x:v>46147</x:v>
      </x:c>
      <x:c r="S8" s="9" t="inlineStr">
        <x:is>
          <x:t xml:space="preserve">PRC-07</x:t>
        </x:is>
      </x:c>
      <x:c r="T8" s="15" t="inlineStr">
        <x:is>
          <x:t xml:space="preserve">N</x:t>
        </x:is>
      </x:c>
      <x:c r="U8" s="14" t="inlineStr">
        <x:is>
          <x:t xml:space="preserve"/>
        </x:is>
      </x:c>
    </x:row>
    <x:row r="9" ht="42" customHeight="1">
      <x:c r="A9" s="9" t="inlineStr">
        <x:is>
          <x:t xml:space="preserve">SOP-01</x:t>
        </x:is>
      </x:c>
      <x:c r="B9" s="9" t="inlineStr">
        <x:is>
          <x:t xml:space="preserve">Procedure</x:t>
        </x:is>
      </x:c>
      <x:c r="C9" s="9" t="inlineStr">
        <x:is>
          <x:t xml:space="preserve">Operations</x:t>
        </x:is>
      </x:c>
      <x:c r="D9" s="13" t="n">
        <x:v>3</x:v>
      </x:c>
      <x:c r="E9" s="9" t="inlineStr">
        <x:is>
          <x:t xml:space="preserve">Runbooks</x:t>
        </x:is>
      </x:c>
      <x:c r="F9" s="9" t="inlineStr">
        <x:is>
          <x:t xml:space="preserve">Runbook template + standard structure</x:t>
        </x:is>
      </x:c>
      <x:c r="G9" s="14" t="inlineStr">
        <x:is>
          <x:t xml:space="preserve">Create runbook template including symptoms, diagnostics, actions, rollback, escalation, and evidence capture.</x:t>
        </x:is>
      </x:c>
      <x:c r="H9" s="14" t="inlineStr">
        <x:is>
          <x:t xml:space="preserve">Runbook template</x:t>
        </x:is>
      </x:c>
      <x:c r="I9" s="9" t="inlineStr">
        <x:is>
          <x:t xml:space="preserve">SRE/Operations</x:t>
        </x:is>
      </x:c>
      <x:c r="J9" s="15" t="inlineStr">
        <x:is>
          <x:t xml:space="preserve">A</x:t>
        </x:is>
      </x:c>
      <x:c r="K9" s="15" t="inlineStr">
        <x:is>
          <x:t xml:space="preserve">P1</x:t>
        </x:is>
      </x:c>
      <x:c r="L9" s="15" t="inlineStr">
        <x:is>
          <x:t xml:space="preserve">Not Started</x:t>
        </x:is>
      </x:c>
      <x:c r="M9" s="16" t="n">
        <x:v>2</x:v>
      </x:c>
      <x:c r="N9" s="13" t="n">
        <x:v>2</x:v>
      </x:c>
      <x:c r="O9" s="13" t="n">
        <x:v>6</x:v>
      </x:c>
      <x:c r="P9" s="13">
        <x:f>O9+ROUNDUP(N9/Inputs!$B$4,0)-1</x:f>
        <x:v>6</x:v>
      </x:c>
      <x:c r="Q9" s="17">
        <x:f>Inputs!$B$3+(O9-1)*Inputs!$B$4</x:f>
        <x:v>46111</x:v>
      </x:c>
      <x:c r="R9" s="17">
        <x:f>Q9+N9-1</x:f>
        <x:v>46112</x:v>
      </x:c>
      <x:c r="S9" s="9" t="inlineStr">
        <x:is>
          <x:t xml:space="preserve">PRC-02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SOP-02</x:t>
        </x:is>
      </x:c>
      <x:c r="B10" s="9" t="inlineStr">
        <x:is>
          <x:t xml:space="preserve">Procedure</x:t>
        </x:is>
      </x:c>
      <x:c r="C10" s="9" t="inlineStr">
        <x:is>
          <x:t xml:space="preserve">Operations</x:t>
        </x:is>
      </x:c>
      <x:c r="D10" s="13" t="n">
        <x:v>3</x:v>
      </x:c>
      <x:c r="E10" s="9" t="inlineStr">
        <x:is>
          <x:t xml:space="preserve">Runbooks</x:t>
        </x:is>
      </x:c>
      <x:c r="F10" s="9" t="inlineStr">
        <x:is>
          <x:t xml:space="preserve">Runbook: Authentication failures (401/403)</x:t>
        </x:is>
      </x:c>
      <x:c r="G10" s="14" t="inlineStr">
        <x:is>
          <x:t xml:space="preserve">Step-by-step for diagnosing credential issues, secret references, token refresh, and vendor checks.</x:t>
        </x:is>
      </x:c>
      <x:c r="H10" s="14" t="inlineStr">
        <x:is>
          <x:t xml:space="preserve">Auth failure runbook</x:t>
        </x:is>
      </x:c>
      <x:c r="I10" s="9" t="inlineStr">
        <x:is>
          <x:t xml:space="preserve">SRE/Operations</x:t>
        </x:is>
      </x:c>
      <x:c r="J10" s="15" t="inlineStr">
        <x:is>
          <x:t xml:space="preserve">R</x:t>
        </x:is>
      </x:c>
      <x:c r="K10" s="15" t="inlineStr">
        <x:is>
          <x:t xml:space="preserve">P0</x:t>
        </x:is>
      </x:c>
      <x:c r="L10" s="15" t="inlineStr">
        <x:is>
          <x:t xml:space="preserve">Not Started</x:t>
        </x:is>
      </x:c>
      <x:c r="M10" s="16" t="n">
        <x:v>2</x:v>
      </x:c>
      <x:c r="N10" s="13" t="n">
        <x:v>2</x:v>
      </x:c>
      <x:c r="O10" s="13" t="n">
        <x:v>7</x:v>
      </x:c>
      <x:c r="P10" s="13">
        <x:f>O10+ROUNDUP(N10/Inputs!$B$4,0)-1</x:f>
        <x:v>7</x:v>
      </x:c>
      <x:c r="Q10" s="17">
        <x:f>Inputs!$B$3+(O10-1)*Inputs!$B$4</x:f>
        <x:v>46118</x:v>
      </x:c>
      <x:c r="R10" s="17">
        <x:f>Q10+N10-1</x:f>
        <x:v>46119</x:v>
      </x:c>
      <x:c r="S10" s="9" t="inlineStr">
        <x:is>
          <x:t xml:space="preserve">SOP-01,PRC-03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SOP-03</x:t>
        </x:is>
      </x:c>
      <x:c r="B11" s="9" t="inlineStr">
        <x:is>
          <x:t xml:space="preserve">Procedure</x:t>
        </x:is>
      </x:c>
      <x:c r="C11" s="9" t="inlineStr">
        <x:is>
          <x:t xml:space="preserve">Operations</x:t>
        </x:is>
      </x:c>
      <x:c r="D11" s="13" t="n">
        <x:v>3</x:v>
      </x:c>
      <x:c r="E11" s="9" t="inlineStr">
        <x:is>
          <x:t xml:space="preserve">Runbooks</x:t>
        </x:is>
      </x:c>
      <x:c r="F11" s="9" t="inlineStr">
        <x:is>
          <x:t xml:space="preserve">Runbook: Rate limiting / 429 handling</x:t>
        </x:is>
      </x:c>
      <x:c r="G11" s="14" t="inlineStr">
        <x:is>
          <x:t xml:space="preserve">Steps to confirm rate-limit cause, adjust throttles, reschedule, and contact vendor if needed.</x:t>
        </x:is>
      </x:c>
      <x:c r="H11" s="14" t="inlineStr">
        <x:is>
          <x:t xml:space="preserve">429 runbook</x:t>
        </x:is>
      </x:c>
      <x:c r="I11" s="9" t="inlineStr">
        <x:is>
          <x:t xml:space="preserve">SRE/Operations</x:t>
        </x:is>
      </x:c>
      <x:c r="J11" s="15" t="inlineStr">
        <x:is>
          <x:t xml:space="preserve">R</x:t>
        </x:is>
      </x:c>
      <x:c r="K11" s="15" t="inlineStr">
        <x:is>
          <x:t xml:space="preserve">P1</x:t>
        </x:is>
      </x:c>
      <x:c r="L11" s="15" t="inlineStr">
        <x:is>
          <x:t xml:space="preserve">Not Started</x:t>
        </x:is>
      </x:c>
      <x:c r="M11" s="16" t="n">
        <x:v>2</x:v>
      </x:c>
      <x:c r="N11" s="13" t="n">
        <x:v>2</x:v>
      </x:c>
      <x:c r="O11" s="13" t="n">
        <x:v>7</x:v>
      </x:c>
      <x:c r="P11" s="13">
        <x:f>O11+ROUNDUP(N11/Inputs!$B$4,0)-1</x:f>
        <x:v>7</x:v>
      </x:c>
      <x:c r="Q11" s="17">
        <x:f>Inputs!$B$3+(O11-1)*Inputs!$B$4</x:f>
        <x:v>46118</x:v>
      </x:c>
      <x:c r="R11" s="17">
        <x:f>Q11+N11-1</x:f>
        <x:v>46119</x:v>
      </x:c>
      <x:c r="S11" s="9" t="inlineStr">
        <x:is>
          <x:t xml:space="preserve">SOP-01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SOP-04</x:t>
        </x:is>
      </x:c>
      <x:c r="B12" s="9" t="inlineStr">
        <x:is>
          <x:t xml:space="preserve">Procedure</x:t>
        </x:is>
      </x:c>
      <x:c r="C12" s="9" t="inlineStr">
        <x:is>
          <x:t xml:space="preserve">Operations</x:t>
        </x:is>
      </x:c>
      <x:c r="D12" s="13" t="n">
        <x:v>3</x:v>
      </x:c>
      <x:c r="E12" s="9" t="inlineStr">
        <x:is>
          <x:t xml:space="preserve">Runbooks</x:t>
        </x:is>
      </x:c>
      <x:c r="F12" s="9" t="inlineStr">
        <x:is>
          <x:t xml:space="preserve">Runbook: Vendor outage / elevated 5xx</x:t>
        </x:is>
      </x:c>
      <x:c r="G12" s="14" t="inlineStr">
        <x:is>
          <x:t xml:space="preserve">Steps to validate vendor outage, mitigate via retries/circuit breaker, and communicate status.</x:t>
        </x:is>
      </x:c>
      <x:c r="H12" s="14" t="inlineStr">
        <x:is>
          <x:t xml:space="preserve">5xx outage runbook</x:t>
        </x:is>
      </x:c>
      <x:c r="I12" s="9" t="inlineStr">
        <x:is>
          <x:t xml:space="preserve">SRE/Operations</x:t>
        </x:is>
      </x:c>
      <x:c r="J12" s="15" t="inlineStr">
        <x:is>
          <x:t xml:space="preserve">R</x:t>
        </x:is>
      </x:c>
      <x:c r="K12" s="15" t="inlineStr">
        <x:is>
          <x:t xml:space="preserve">P1</x:t>
        </x:is>
      </x:c>
      <x:c r="L12" s="15" t="inlineStr">
        <x:is>
          <x:t xml:space="preserve">Not Started</x:t>
        </x:is>
      </x:c>
      <x:c r="M12" s="16" t="n">
        <x:v>2</x:v>
      </x:c>
      <x:c r="N12" s="13" t="n">
        <x:v>2</x:v>
      </x:c>
      <x:c r="O12" s="13" t="n">
        <x:v>7</x:v>
      </x:c>
      <x:c r="P12" s="13">
        <x:f>O12+ROUNDUP(N12/Inputs!$B$4,0)-1</x:f>
        <x:v>7</x:v>
      </x:c>
      <x:c r="Q12" s="17">
        <x:f>Inputs!$B$3+(O12-1)*Inputs!$B$4</x:f>
        <x:v>46118</x:v>
      </x:c>
      <x:c r="R12" s="17">
        <x:f>Q12+N12-1</x:f>
        <x:v>46119</x:v>
      </x:c>
      <x:c r="S12" s="9" t="inlineStr">
        <x:is>
          <x:t xml:space="preserve">SOP-01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SOP-05</x:t>
        </x:is>
      </x:c>
      <x:c r="B13" s="9" t="inlineStr">
        <x:is>
          <x:t xml:space="preserve">Procedure</x:t>
        </x:is>
      </x:c>
      <x:c r="C13" s="9" t="inlineStr">
        <x:is>
          <x:t xml:space="preserve">Operations</x:t>
        </x:is>
      </x:c>
      <x:c r="D13" s="13" t="n">
        <x:v>3</x:v>
      </x:c>
      <x:c r="E13" s="9" t="inlineStr">
        <x:is>
          <x:t xml:space="preserve">Runbooks</x:t>
        </x:is>
      </x:c>
      <x:c r="F13" s="9" t="inlineStr">
        <x:is>
          <x:t xml:space="preserve">Runbook: Schema drift detected</x:t>
        </x:is>
      </x:c>
      <x:c r="G13" s="14" t="inlineStr">
        <x:is>
          <x:t xml:space="preserve">Diagnose schema changes, identify breaking vs additive, quarantine rules, and escalation to owners.</x:t>
        </x:is>
      </x:c>
      <x:c r="H13" s="14" t="inlineStr">
        <x:is>
          <x:t xml:space="preserve">Schema drift runbook</x:t>
        </x:is>
      </x:c>
      <x:c r="I13" s="9" t="inlineStr">
        <x:is>
          <x:t xml:space="preserve">Data Engineer</x:t>
        </x:is>
      </x:c>
      <x:c r="J13" s="15" t="inlineStr">
        <x:is>
          <x:t xml:space="preserve">R</x:t>
        </x:is>
      </x:c>
      <x:c r="K13" s="15" t="inlineStr">
        <x:is>
          <x:t xml:space="preserve">P1</x:t>
        </x:is>
      </x:c>
      <x:c r="L13" s="15" t="inlineStr">
        <x:is>
          <x:t xml:space="preserve">Not Started</x:t>
        </x:is>
      </x:c>
      <x:c r="M13" s="16" t="n">
        <x:v>2</x:v>
      </x:c>
      <x:c r="N13" s="13" t="n">
        <x:v>2</x:v>
      </x:c>
      <x:c r="O13" s="13" t="n">
        <x:v>8</x:v>
      </x:c>
      <x:c r="P13" s="13">
        <x:f>O13+ROUNDUP(N13/Inputs!$B$4,0)-1</x:f>
        <x:v>8</x:v>
      </x:c>
      <x:c r="Q13" s="17">
        <x:f>Inputs!$B$3+(O13-1)*Inputs!$B$4</x:f>
        <x:v>46125</x:v>
      </x:c>
      <x:c r="R13" s="17">
        <x:f>Q13+N13-1</x:f>
        <x:v>46126</x:v>
      </x:c>
      <x:c r="S13" s="9" t="inlineStr">
        <x:is>
          <x:t xml:space="preserve">SOP-01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SOP-06</x:t>
        </x:is>
      </x:c>
      <x:c r="B14" s="9" t="inlineStr">
        <x:is>
          <x:t xml:space="preserve">Procedure</x:t>
        </x:is>
      </x:c>
      <x:c r="C14" s="9" t="inlineStr">
        <x:is>
          <x:t xml:space="preserve">Operations</x:t>
        </x:is>
      </x:c>
      <x:c r="D14" s="13" t="n">
        <x:v>3</x:v>
      </x:c>
      <x:c r="E14" s="9" t="inlineStr">
        <x:is>
          <x:t xml:space="preserve">Runbooks</x:t>
        </x:is>
      </x:c>
      <x:c r="F14" s="9" t="inlineStr">
        <x:is>
          <x:t xml:space="preserve">Runbook: Bronze write failures (storage/permissions)</x:t>
        </x:is>
      </x:c>
      <x:c r="G14" s="14" t="inlineStr">
        <x:is>
          <x:t xml:space="preserve">Check UC permissions, storage mount, Delta transaction errors, and recovery steps.</x:t>
        </x:is>
      </x:c>
      <x:c r="H14" s="14" t="inlineStr">
        <x:is>
          <x:t xml:space="preserve">Bronze write failure runbook</x:t>
        </x:is>
      </x:c>
      <x:c r="I14" s="9" t="inlineStr">
        <x:is>
          <x:t xml:space="preserve">SRE/Operations</x:t>
        </x:is>
      </x:c>
      <x:c r="J14" s="15" t="inlineStr">
        <x:is>
          <x:t xml:space="preserve">R</x:t>
        </x:is>
      </x:c>
      <x:c r="K14" s="15" t="inlineStr">
        <x:is>
          <x:t xml:space="preserve">P0</x:t>
        </x:is>
      </x:c>
      <x:c r="L14" s="15" t="inlineStr">
        <x:is>
          <x:t xml:space="preserve">Not Started</x:t>
        </x:is>
      </x:c>
      <x:c r="M14" s="16" t="n">
        <x:v>2</x:v>
      </x:c>
      <x:c r="N14" s="13" t="n">
        <x:v>2</x:v>
      </x:c>
      <x:c r="O14" s="13" t="n">
        <x:v>8</x:v>
      </x:c>
      <x:c r="P14" s="13">
        <x:f>O14+ROUNDUP(N14/Inputs!$B$4,0)-1</x:f>
        <x:v>8</x:v>
      </x:c>
      <x:c r="Q14" s="17">
        <x:f>Inputs!$B$3+(O14-1)*Inputs!$B$4</x:f>
        <x:v>46125</x:v>
      </x:c>
      <x:c r="R14" s="17">
        <x:f>Q14+N14-1</x:f>
        <x:v>46126</x:v>
      </x:c>
      <x:c r="S14" s="9" t="inlineStr">
        <x:is>
          <x:t xml:space="preserve">SOP-01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SOP-19</x:t>
        </x:is>
      </x:c>
      <x:c r="B15" s="9" t="inlineStr">
        <x:is>
          <x:t xml:space="preserve">Procedure</x:t>
        </x:is>
      </x:c>
      <x:c r="C15" s="9" t="inlineStr">
        <x:is>
          <x:t xml:space="preserve">Operations</x:t>
        </x:is>
      </x:c>
      <x:c r="D15" s="13" t="n">
        <x:v>3</x:v>
      </x:c>
      <x:c r="E15" s="9" t="inlineStr">
        <x:is>
          <x:t xml:space="preserve">Procedure</x:t>
        </x:is>
      </x:c>
      <x:c r="F15" s="9" t="inlineStr">
        <x:is>
          <x:t xml:space="preserve">Procedure: Classify an ingestion failure (taxonomy)</x:t>
        </x:is>
      </x:c>
      <x:c r="G15" s="14" t="inlineStr">
        <x:is>
          <x:t xml:space="preserve">Map common errors to error types, severity, and routing; ensure consistent categorization in errors table.</x:t>
        </x:is>
      </x:c>
      <x:c r="H15" s="14" t="inlineStr">
        <x:is>
          <x:t xml:space="preserve">Error taxonomy procedure</x:t>
        </x:is>
      </x:c>
      <x:c r="I15" s="9" t="inlineStr">
        <x:is>
          <x:t xml:space="preserve">SRE/Operations</x:t>
        </x:is>
      </x:c>
      <x:c r="J15" s="15" t="inlineStr">
        <x:is>
          <x:t xml:space="preserve">R</x:t>
        </x:is>
      </x:c>
      <x:c r="K15" s="15" t="inlineStr">
        <x:is>
          <x:t xml:space="preserve">P1</x:t>
        </x:is>
      </x:c>
      <x:c r="L15" s="15" t="inlineStr">
        <x:is>
          <x:t xml:space="preserve">Not Started</x:t>
        </x:is>
      </x:c>
      <x:c r="M15" s="16" t="n">
        <x:v>2</x:v>
      </x:c>
      <x:c r="N15" s="13" t="n">
        <x:v>2</x:v>
      </x:c>
      <x:c r="O15" s="13" t="n">
        <x:v>8</x:v>
      </x:c>
      <x:c r="P15" s="13">
        <x:f>O15+ROUNDUP(N15/Inputs!$B$4,0)-1</x:f>
        <x:v>8</x:v>
      </x:c>
      <x:c r="Q15" s="17">
        <x:f>Inputs!$B$3+(O15-1)*Inputs!$B$4</x:f>
        <x:v>46125</x:v>
      </x:c>
      <x:c r="R15" s="17">
        <x:f>Q15+N15-1</x:f>
        <x:v>46126</x:v>
      </x:c>
      <x:c r="S15" s="9" t="inlineStr">
        <x:is>
          <x:t xml:space="preserve">PLY-02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SOP-07</x:t>
        </x:is>
      </x:c>
      <x:c r="B16" s="9" t="inlineStr">
        <x:is>
          <x:t xml:space="preserve">Procedure</x:t>
        </x:is>
      </x:c>
      <x:c r="C16" s="9" t="inlineStr">
        <x:is>
          <x:t xml:space="preserve">Operations</x:t>
        </x:is>
      </x:c>
      <x:c r="D16" s="13" t="n">
        <x:v>3</x:v>
      </x:c>
      <x:c r="E16" s="9" t="inlineStr">
        <x:is>
          <x:t xml:space="preserve">Runbooks</x:t>
        </x:is>
      </x:c>
      <x:c r="F16" s="9" t="inlineStr">
        <x:is>
          <x:t xml:space="preserve">Runbook: DLQ growth / parse failures</x:t>
        </x:is>
      </x:c>
      <x:c r="G16" s="14" t="inlineStr">
        <x:is>
          <x:t xml:space="preserve">Identify root cause, isolate sources/endpoints, replay strategy and validation steps.</x:t>
        </x:is>
      </x:c>
      <x:c r="H16" s="14" t="inlineStr">
        <x:is>
          <x:t xml:space="preserve">DLQ growth runbook</x:t>
        </x:is>
      </x:c>
      <x:c r="I16" s="9" t="inlineStr">
        <x:is>
          <x:t xml:space="preserve">Data Engineer</x:t>
        </x:is>
      </x:c>
      <x:c r="J16" s="15" t="inlineStr">
        <x:is>
          <x:t xml:space="preserve">R</x:t>
        </x:is>
      </x:c>
      <x:c r="K16" s="15" t="inlineStr">
        <x:is>
          <x:t xml:space="preserve">P1</x:t>
        </x:is>
      </x:c>
      <x:c r="L16" s="15" t="inlineStr">
        <x:is>
          <x:t xml:space="preserve">Not Started</x:t>
        </x:is>
      </x:c>
      <x:c r="M16" s="16" t="n">
        <x:v>2</x:v>
      </x:c>
      <x:c r="N16" s="13" t="n">
        <x:v>2</x:v>
      </x:c>
      <x:c r="O16" s="13" t="n">
        <x:v>9</x:v>
      </x:c>
      <x:c r="P16" s="13">
        <x:f>O16+ROUNDUP(N16/Inputs!$B$4,0)-1</x:f>
        <x:v>9</x:v>
      </x:c>
      <x:c r="Q16" s="17">
        <x:f>Inputs!$B$3+(O16-1)*Inputs!$B$4</x:f>
        <x:v>46132</x:v>
      </x:c>
      <x:c r="R16" s="17">
        <x:f>Q16+N16-1</x:f>
        <x:v>46133</x:v>
      </x:c>
      <x:c r="S16" s="9" t="inlineStr">
        <x:is>
          <x:t xml:space="preserve">SOP-01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SOP-21</x:t>
        </x:is>
      </x:c>
      <x:c r="B17" s="9" t="inlineStr">
        <x:is>
          <x:t xml:space="preserve">Procedure</x:t>
        </x:is>
      </x:c>
      <x:c r="C17" s="9" t="inlineStr">
        <x:is>
          <x:t xml:space="preserve">Operations</x:t>
        </x:is>
      </x:c>
      <x:c r="D17" s="13" t="n">
        <x:v>3</x:v>
      </x:c>
      <x:c r="E17" s="9" t="inlineStr">
        <x:is>
          <x:t xml:space="preserve">Runbooks</x:t>
        </x:is>
      </x:c>
      <x:c r="F17" s="9" t="inlineStr">
        <x:is>
          <x:t xml:space="preserve">Runbook: Config validation/publish failure</x:t>
        </x:is>
      </x:c>
      <x:c r="G17" s="14" t="inlineStr">
        <x:is>
          <x:t xml:space="preserve">Steps to diagnose CI config validation failures and registry publish issues.</x:t>
        </x:is>
      </x:c>
      <x:c r="H17" s="14" t="inlineStr">
        <x:is>
          <x:t xml:space="preserve">Config publish runbook</x:t>
        </x:is>
      </x:c>
      <x:c r="I17" s="9" t="inlineStr">
        <x:is>
          <x:t xml:space="preserve">DevOps/Platform Eng</x:t>
        </x:is>
      </x:c>
      <x:c r="J17" s="15" t="inlineStr">
        <x:is>
          <x:t xml:space="preserve">R</x:t>
        </x:is>
      </x:c>
      <x:c r="K17" s="15" t="inlineStr">
        <x:is>
          <x:t xml:space="preserve">P1</x:t>
        </x:is>
      </x:c>
      <x:c r="L17" s="15" t="inlineStr">
        <x:is>
          <x:t xml:space="preserve">Not Started</x:t>
        </x:is>
      </x:c>
      <x:c r="M17" s="16" t="n">
        <x:v>2</x:v>
      </x:c>
      <x:c r="N17" s="13" t="n">
        <x:v>2</x:v>
      </x:c>
      <x:c r="O17" s="13" t="n">
        <x:v>9</x:v>
      </x:c>
      <x:c r="P17" s="13">
        <x:f>O17+ROUNDUP(N17/Inputs!$B$4,0)-1</x:f>
        <x:v>9</x:v>
      </x:c>
      <x:c r="Q17" s="17">
        <x:f>Inputs!$B$3+(O17-1)*Inputs!$B$4</x:f>
        <x:v>46132</x:v>
      </x:c>
      <x:c r="R17" s="17">
        <x:f>Q17+N17-1</x:f>
        <x:v>46133</x:v>
      </x:c>
      <x:c r="S17" s="9" t="inlineStr">
        <x:is>
          <x:t xml:space="preserve">SOP-01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SOP-22</x:t>
        </x:is>
      </x:c>
      <x:c r="B18" s="9" t="inlineStr">
        <x:is>
          <x:t xml:space="preserve">Procedure</x:t>
        </x:is>
      </x:c>
      <x:c r="C18" s="9" t="inlineStr">
        <x:is>
          <x:t xml:space="preserve">Operations</x:t>
        </x:is>
      </x:c>
      <x:c r="D18" s="13" t="n">
        <x:v>3</x:v>
      </x:c>
      <x:c r="E18" s="9" t="inlineStr">
        <x:is>
          <x:t xml:space="preserve">Runbooks</x:t>
        </x:is>
      </x:c>
      <x:c r="F18" s="9" t="inlineStr">
        <x:is>
          <x:t xml:space="preserve">Runbook: Stuck jobs / orchestration failures</x:t>
        </x:is>
      </x:c>
      <x:c r="G18" s="14" t="inlineStr">
        <x:is>
          <x:t xml:space="preserve">Diagnose workflow/task failures, cluster issues, concurrency limits.</x:t>
        </x:is>
      </x:c>
      <x:c r="H18" s="14" t="inlineStr">
        <x:is>
          <x:t xml:space="preserve">Orchestration runbook</x:t>
        </x:is>
      </x:c>
      <x:c r="I18" s="9" t="inlineStr">
        <x:is>
          <x:t xml:space="preserve">SRE/Operations</x:t>
        </x:is>
      </x:c>
      <x:c r="J18" s="15" t="inlineStr">
        <x:is>
          <x:t xml:space="preserve">R</x:t>
        </x:is>
      </x:c>
      <x:c r="K18" s="15" t="inlineStr">
        <x:is>
          <x:t xml:space="preserve">P1</x:t>
        </x:is>
      </x:c>
      <x:c r="L18" s="15" t="inlineStr">
        <x:is>
          <x:t xml:space="preserve">Not Started</x:t>
        </x:is>
      </x:c>
      <x:c r="M18" s="16" t="n">
        <x:v>2</x:v>
      </x:c>
      <x:c r="N18" s="13" t="n">
        <x:v>2</x:v>
      </x:c>
      <x:c r="O18" s="13" t="n">
        <x:v>9</x:v>
      </x:c>
      <x:c r="P18" s="13">
        <x:f>O18+ROUNDUP(N18/Inputs!$B$4,0)-1</x:f>
        <x:v>9</x:v>
      </x:c>
      <x:c r="Q18" s="17">
        <x:f>Inputs!$B$3+(O18-1)*Inputs!$B$4</x:f>
        <x:v>46132</x:v>
      </x:c>
      <x:c r="R18" s="17">
        <x:f>Q18+N18-1</x:f>
        <x:v>46133</x:v>
      </x:c>
      <x:c r="S18" s="9" t="inlineStr">
        <x:is>
          <x:t xml:space="preserve">SOP-01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  <x:row r="19" ht="42" customHeight="1">
      <x:c r="A19" s="9" t="inlineStr">
        <x:is>
          <x:t xml:space="preserve">SOP-15</x:t>
        </x:is>
      </x:c>
      <x:c r="B19" s="9" t="inlineStr">
        <x:is>
          <x:t xml:space="preserve">Procedure</x:t>
        </x:is>
      </x:c>
      <x:c r="C19" s="9" t="inlineStr">
        <x:is>
          <x:t xml:space="preserve">Operations</x:t>
        </x:is>
      </x:c>
      <x:c r="D19" s="13" t="n">
        <x:v>3</x:v>
      </x:c>
      <x:c r="E19" s="9" t="inlineStr">
        <x:is>
          <x:t xml:space="preserve">SOP</x:t>
        </x:is>
      </x:c>
      <x:c r="F19" s="9" t="inlineStr">
        <x:is>
          <x:t xml:space="preserve">SOP: Alert tuning and suppression</x:t>
        </x:is>
      </x:c>
      <x:c r="G19" s="14" t="inlineStr">
        <x:is>
          <x:t xml:space="preserve">Procedure to adjust thresholds, implement dedupe, suppression windows, and track changes.</x:t>
        </x:is>
      </x:c>
      <x:c r="H19" s="14" t="inlineStr">
        <x:is>
          <x:t xml:space="preserve">Alert tuning SOP</x:t>
        </x:is>
      </x:c>
      <x:c r="I19" s="9" t="inlineStr">
        <x:is>
          <x:t xml:space="preserve">SRE/Operations</x:t>
        </x:is>
      </x:c>
      <x:c r="J19" s="15" t="inlineStr">
        <x:is>
          <x:t xml:space="preserve">R</x:t>
        </x:is>
      </x:c>
      <x:c r="K19" s="15" t="inlineStr">
        <x:is>
          <x:t xml:space="preserve">P2</x:t>
        </x:is>
      </x:c>
      <x:c r="L19" s="15" t="inlineStr">
        <x:is>
          <x:t xml:space="preserve">Not Started</x:t>
        </x:is>
      </x:c>
      <x:c r="M19" s="16" t="n">
        <x:v>2</x:v>
      </x:c>
      <x:c r="N19" s="13" t="n">
        <x:v>2</x:v>
      </x:c>
      <x:c r="O19" s="13" t="n">
        <x:v>10</x:v>
      </x:c>
      <x:c r="P19" s="13">
        <x:f>O19+ROUNDUP(N19/Inputs!$B$4,0)-1</x:f>
        <x:v>10</x:v>
      </x:c>
      <x:c r="Q19" s="17">
        <x:f>Inputs!$B$3+(O19-1)*Inputs!$B$4</x:f>
        <x:v>46139</x:v>
      </x:c>
      <x:c r="R19" s="17">
        <x:f>Q19+N19-1</x:f>
        <x:v>46140</x:v>
      </x:c>
      <x:c r="S19" s="9" t="inlineStr">
        <x:is>
          <x:t xml:space="preserve">PLY-09</x:t>
        </x:is>
      </x:c>
      <x:c r="T19" s="15" t="inlineStr">
        <x:is>
          <x:t xml:space="preserve">N</x:t>
        </x:is>
      </x:c>
      <x:c r="U19" s="14" t="inlineStr">
        <x:is>
          <x:t xml:space="preserve"/>
        </x:is>
      </x:c>
    </x:row>
    <x:row r="20" ht="42" customHeight="1">
      <x:c r="A20" s="9" t="inlineStr">
        <x:is>
          <x:t xml:space="preserve">SOP-23</x:t>
        </x:is>
      </x:c>
      <x:c r="B20" s="9" t="inlineStr">
        <x:is>
          <x:t xml:space="preserve">Procedure</x:t>
        </x:is>
      </x:c>
      <x:c r="C20" s="9" t="inlineStr">
        <x:is>
          <x:t xml:space="preserve">Operations</x:t>
        </x:is>
      </x:c>
      <x:c r="D20" s="13" t="n">
        <x:v>3</x:v>
      </x:c>
      <x:c r="E20" s="9" t="inlineStr">
        <x:is>
          <x:t xml:space="preserve">Runbooks</x:t>
        </x:is>
      </x:c>
      <x:c r="F20" s="9" t="inlineStr">
        <x:is>
          <x:t xml:space="preserve">Runbook: Data freshness lag breach</x:t>
        </x:is>
      </x:c>
      <x:c r="G20" s="14" t="inlineStr">
        <x:is>
          <x:t xml:space="preserve">Diagnose lag, check schedule, rate limits, upstream delays, and mitigation.</x:t>
        </x:is>
      </x:c>
      <x:c r="H20" s="14" t="inlineStr">
        <x:is>
          <x:t xml:space="preserve">Freshness lag runbook</x:t>
        </x:is>
      </x:c>
      <x:c r="I20" s="9" t="inlineStr">
        <x:is>
          <x:t xml:space="preserve">SRE/Operations</x:t>
        </x:is>
      </x:c>
      <x:c r="J20" s="15" t="inlineStr">
        <x:is>
          <x:t xml:space="preserve">R</x:t>
        </x:is>
      </x:c>
      <x:c r="K20" s="15" t="inlineStr">
        <x:is>
          <x:t xml:space="preserve">P1</x:t>
        </x:is>
      </x:c>
      <x:c r="L20" s="15" t="inlineStr">
        <x:is>
          <x:t xml:space="preserve">Not Started</x:t>
        </x:is>
      </x:c>
      <x:c r="M20" s="16" t="n">
        <x:v>2</x:v>
      </x:c>
      <x:c r="N20" s="13" t="n">
        <x:v>2</x:v>
      </x:c>
      <x:c r="O20" s="13" t="n">
        <x:v>10</x:v>
      </x:c>
      <x:c r="P20" s="13">
        <x:f>O20+ROUNDUP(N20/Inputs!$B$4,0)-1</x:f>
        <x:v>10</x:v>
      </x:c>
      <x:c r="Q20" s="17">
        <x:f>Inputs!$B$3+(O20-1)*Inputs!$B$4</x:f>
        <x:v>46139</x:v>
      </x:c>
      <x:c r="R20" s="17">
        <x:f>Q20+N20-1</x:f>
        <x:v>46140</x:v>
      </x:c>
      <x:c r="S20" s="9" t="inlineStr">
        <x:is>
          <x:t xml:space="preserve">SOP-01</x:t>
        </x:is>
      </x:c>
      <x:c r="T20" s="15" t="inlineStr">
        <x:is>
          <x:t xml:space="preserve">N</x:t>
        </x:is>
      </x:c>
      <x:c r="U20" s="14" t="inlineStr">
        <x:is>
          <x:t xml:space="preserve"/>
        </x:is>
      </x:c>
    </x:row>
    <x:row r="21" ht="42" customHeight="1">
      <x:c r="A21" s="9" t="inlineStr">
        <x:is>
          <x:t xml:space="preserve">SOP-20</x:t>
        </x:is>
      </x:c>
      <x:c r="B21" s="9" t="inlineStr">
        <x:is>
          <x:t xml:space="preserve">Procedure</x:t>
        </x:is>
      </x:c>
      <x:c r="C21" s="9" t="inlineStr">
        <x:is>
          <x:t xml:space="preserve">Governance</x:t>
        </x:is>
      </x:c>
      <x:c r="D21" s="13" t="n">
        <x:v>4</x:v>
      </x:c>
      <x:c r="E21" s="9" t="inlineStr">
        <x:is>
          <x:t xml:space="preserve">Procedure</x:t>
        </x:is>
      </x:c>
      <x:c r="F21" s="9" t="inlineStr">
        <x:is>
          <x:t xml:space="preserve">Procedure: Source intake form completion</x:t>
        </x:is>
      </x:c>
      <x:c r="G21" s="14" t="inlineStr">
        <x:is>
          <x:t xml:space="preserve">Detailed instructions for requestors to complete the intake form (required fields and examples).</x:t>
        </x:is>
      </x:c>
      <x:c r="H21" s="14" t="inlineStr">
        <x:is>
          <x:t xml:space="preserve">Intake form instructions</x:t>
        </x:is>
      </x:c>
      <x:c r="I21" s="9" t="inlineStr">
        <x:is>
          <x:t xml:space="preserve">Product Owner</x:t>
        </x:is>
      </x:c>
      <x:c r="J21" s="15" t="inlineStr">
        <x:is>
          <x:t xml:space="preserve">R</x:t>
        </x:is>
      </x:c>
      <x:c r="K21" s="15" t="inlineStr">
        <x:is>
          <x:t xml:space="preserve">P2</x:t>
        </x:is>
      </x:c>
      <x:c r="L21" s="15" t="inlineStr">
        <x:is>
          <x:t xml:space="preserve">Not Started</x:t>
        </x:is>
      </x:c>
      <x:c r="M21" s="16" t="n">
        <x:v>1</x:v>
      </x:c>
      <x:c r="N21" s="13" t="n">
        <x:v>1</x:v>
      </x:c>
      <x:c r="O21" s="13" t="n">
        <x:v>7</x:v>
      </x:c>
      <x:c r="P21" s="13">
        <x:f>O21+ROUNDUP(N21/Inputs!$B$4,0)-1</x:f>
        <x:v>7</x:v>
      </x:c>
      <x:c r="Q21" s="17">
        <x:f>Inputs!$B$3+(O21-1)*Inputs!$B$4</x:f>
        <x:v>46118</x:v>
      </x:c>
      <x:c r="R21" s="17">
        <x:f>Q21+N21-1</x:f>
        <x:v>46118</x:v>
      </x:c>
      <x:c r="S21" s="9" t="inlineStr">
        <x:is>
          <x:t xml:space="preserve">PRC-06</x:t>
        </x:is>
      </x:c>
      <x:c r="T21" s="15" t="inlineStr">
        <x:is>
          <x:t xml:space="preserve">N</x:t>
        </x:is>
      </x:c>
      <x:c r="U21" s="14" t="inlineStr">
        <x:is>
          <x:t xml:space="preserve"/>
        </x:is>
      </x:c>
    </x:row>
    <x:row r="22" ht="42" customHeight="1">
      <x:c r="A22" s="9" t="inlineStr">
        <x:is>
          <x:t xml:space="preserve">SOP-08</x:t>
        </x:is>
      </x:c>
      <x:c r="B22" s="9" t="inlineStr">
        <x:is>
          <x:t xml:space="preserve">Procedure</x:t>
        </x:is>
      </x:c>
      <x:c r="C22" s="9" t="inlineStr">
        <x:is>
          <x:t xml:space="preserve">Operations</x:t>
        </x:is>
      </x:c>
      <x:c r="D22" s="13" t="n">
        <x:v>4</x:v>
      </x:c>
      <x:c r="E22" s="9" t="inlineStr">
        <x:is>
          <x:t xml:space="preserve">SOP</x:t>
        </x:is>
      </x:c>
      <x:c r="F22" s="9" t="inlineStr">
        <x:is>
          <x:t xml:space="preserve">SOP: Source onboarding checklist (operator view)</x:t>
        </x:is>
      </x:c>
      <x:c r="G22" s="14" t="inlineStr">
        <x:is>
          <x:t xml:space="preserve">Step-by-step to onboard a source using templates, configs, secret references and enabling schedules.</x:t>
        </x:is>
      </x:c>
      <x:c r="H22" s="14" t="inlineStr">
        <x:is>
          <x:t xml:space="preserve">Onboarding SOP</x:t>
        </x:is>
      </x:c>
      <x:c r="I22" s="9" t="inlineStr">
        <x:is>
          <x:t xml:space="preserve">Data Engineer</x:t>
        </x:is>
      </x:c>
      <x:c r="J22" s="15" t="inlineStr">
        <x:is>
          <x:t xml:space="preserve">R</x:t>
        </x:is>
      </x:c>
      <x:c r="K22" s="15" t="inlineStr">
        <x:is>
          <x:t xml:space="preserve">P1</x:t>
        </x:is>
      </x:c>
      <x:c r="L22" s="15" t="inlineStr">
        <x:is>
          <x:t xml:space="preserve">Not Started</x:t>
        </x:is>
      </x:c>
      <x:c r="M22" s="16" t="n">
        <x:v>3</x:v>
      </x:c>
      <x:c r="N22" s="13" t="n">
        <x:v>3</x:v>
      </x:c>
      <x:c r="O22" s="13" t="n">
        <x:v>9</x:v>
      </x:c>
      <x:c r="P22" s="13">
        <x:f>O22+ROUNDUP(N22/Inputs!$B$4,0)-1</x:f>
        <x:v>9</x:v>
      </x:c>
      <x:c r="Q22" s="17">
        <x:f>Inputs!$B$3+(O22-1)*Inputs!$B$4</x:f>
        <x:v>46132</x:v>
      </x:c>
      <x:c r="R22" s="17">
        <x:f>Q22+N22-1</x:f>
        <x:v>46134</x:v>
      </x:c>
      <x:c r="S22" s="9" t="inlineStr">
        <x:is>
          <x:t xml:space="preserve">PRC-06</x:t>
        </x:is>
      </x:c>
      <x:c r="T22" s="15" t="inlineStr">
        <x:is>
          <x:t xml:space="preserve">N</x:t>
        </x:is>
      </x:c>
      <x:c r="U22" s="14" t="inlineStr">
        <x:is>
          <x:t xml:space="preserve"/>
        </x:is>
      </x:c>
    </x:row>
    <x:row r="23" ht="42" customHeight="1">
      <x:c r="A23" s="9" t="inlineStr">
        <x:is>
          <x:t xml:space="preserve">SOP-14</x:t>
        </x:is>
      </x:c>
      <x:c r="B23" s="9" t="inlineStr">
        <x:is>
          <x:t xml:space="preserve">Procedure</x:t>
        </x:is>
      </x:c>
      <x:c r="C23" s="9" t="inlineStr">
        <x:is>
          <x:t xml:space="preserve">Operations</x:t>
        </x:is>
      </x:c>
      <x:c r="D23" s="13" t="n">
        <x:v>4</x:v>
      </x:c>
      <x:c r="E23" s="9" t="inlineStr">
        <x:is>
          <x:t xml:space="preserve">SOP</x:t>
        </x:is>
      </x:c>
      <x:c r="F23" s="9" t="inlineStr">
        <x:is>
          <x:t xml:space="preserve">SOP: Backfill execution</x:t>
        </x:is>
      </x:c>
      <x:c r="G23" s="14" t="inlineStr">
        <x:is>
          <x:t xml:space="preserve">How to run approved backfills, manage compute, validate row counts and close request with evidence.</x:t>
        </x:is>
      </x:c>
      <x:c r="H23" s="14" t="inlineStr">
        <x:is>
          <x:t xml:space="preserve">Backfill SOP</x:t>
        </x:is>
      </x:c>
      <x:c r="I23" s="9" t="inlineStr">
        <x:is>
          <x:t xml:space="preserve">Data Engineer</x:t>
        </x:is>
      </x:c>
      <x:c r="J23" s="15" t="inlineStr">
        <x:is>
          <x:t xml:space="preserve">R</x:t>
        </x:is>
      </x:c>
      <x:c r="K23" s="15" t="inlineStr">
        <x:is>
          <x:t xml:space="preserve">P2</x:t>
        </x:is>
      </x:c>
      <x:c r="L23" s="15" t="inlineStr">
        <x:is>
          <x:t xml:space="preserve">Not Started</x:t>
        </x:is>
      </x:c>
      <x:c r="M23" s="16" t="n">
        <x:v>2</x:v>
      </x:c>
      <x:c r="N23" s="13" t="n">
        <x:v>2</x:v>
      </x:c>
      <x:c r="O23" s="13" t="n">
        <x:v>10</x:v>
      </x:c>
      <x:c r="P23" s="13">
        <x:f>O23+ROUNDUP(N23/Inputs!$B$4,0)-1</x:f>
        <x:v>10</x:v>
      </x:c>
      <x:c r="Q23" s="17">
        <x:f>Inputs!$B$3+(O23-1)*Inputs!$B$4</x:f>
        <x:v>46139</x:v>
      </x:c>
      <x:c r="R23" s="17">
        <x:f>Q23+N23-1</x:f>
        <x:v>46140</x:v>
      </x:c>
      <x:c r="S23" s="9" t="inlineStr">
        <x:is>
          <x:t xml:space="preserve">PRC-08</x:t>
        </x:is>
      </x:c>
      <x:c r="T23" s="15" t="inlineStr">
        <x:is>
          <x:t xml:space="preserve">N</x:t>
        </x:is>
      </x:c>
      <x:c r="U23" s="14" t="inlineStr">
        <x:is>
          <x:t xml:space="preserve"/>
        </x:is>
      </x:c>
    </x:row>
    <x:row r="24" ht="42" customHeight="1">
      <x:c r="A24" s="9" t="inlineStr">
        <x:is>
          <x:t xml:space="preserve">SOP-24</x:t>
        </x:is>
      </x:c>
      <x:c r="B24" s="9" t="inlineStr">
        <x:is>
          <x:t xml:space="preserve">Procedure</x:t>
        </x:is>
      </x:c>
      <x:c r="C24" s="9" t="inlineStr">
        <x:is>
          <x:t xml:space="preserve">Operations</x:t>
        </x:is>
      </x:c>
      <x:c r="D24" s="13" t="n">
        <x:v>5</x:v>
      </x:c>
      <x:c r="E24" s="9" t="inlineStr">
        <x:is>
          <x:t xml:space="preserve">SOP</x:t>
        </x:is>
      </x:c>
      <x:c r="F24" s="9" t="inlineStr">
        <x:is>
          <x:t xml:space="preserve">SOP: Retention purge job execution</x:t>
        </x:is>
      </x:c>
      <x:c r="G24" s="14" t="inlineStr">
        <x:is>
          <x:t xml:space="preserve">How to run/verify purge jobs, validate deletions, and capture evidence.</x:t>
        </x:is>
      </x:c>
      <x:c r="H24" s="14" t="inlineStr">
        <x:is>
          <x:t xml:space="preserve">Purge SOP</x:t>
        </x:is>
      </x:c>
      <x:c r="I24" s="9" t="inlineStr">
        <x:is>
          <x:t xml:space="preserve">SRE/Operations</x:t>
        </x:is>
      </x:c>
      <x:c r="J24" s="15" t="inlineStr">
        <x:is>
          <x:t xml:space="preserve">R</x:t>
        </x:is>
      </x:c>
      <x:c r="K24" s="15" t="inlineStr">
        <x:is>
          <x:t xml:space="preserve">P2</x:t>
        </x:is>
      </x:c>
      <x:c r="L24" s="15" t="inlineStr">
        <x:is>
          <x:t xml:space="preserve">Not Started</x:t>
        </x:is>
      </x:c>
      <x:c r="M24" s="16" t="n">
        <x:v>2</x:v>
      </x:c>
      <x:c r="N24" s="13" t="n">
        <x:v>2</x:v>
      </x:c>
      <x:c r="O24" s="13" t="n">
        <x:v>12</x:v>
      </x:c>
      <x:c r="P24" s="13">
        <x:f>O24+ROUNDUP(N24/Inputs!$B$4,0)-1</x:f>
        <x:v>12</x:v>
      </x:c>
      <x:c r="Q24" s="17">
        <x:f>Inputs!$B$3+(O24-1)*Inputs!$B$4</x:f>
        <x:v>46153</x:v>
      </x:c>
      <x:c r="R24" s="17">
        <x:f>Q24+N24-1</x:f>
        <x:v>46154</x:v>
      </x:c>
      <x:c r="S24" s="9" t="inlineStr">
        <x:is>
          <x:t xml:space="preserve">SOP-01</x:t>
        </x:is>
      </x:c>
      <x:c r="T24" s="15" t="inlineStr">
        <x:is>
          <x:t xml:space="preserve">N</x:t>
        </x:is>
      </x:c>
      <x:c r="U24" s="14" t="inlineStr">
        <x:is>
          <x:t xml:space="preserve"/>
        </x:is>
      </x:c>
    </x:row>
    <x:row r="25" ht="42" customHeight="1">
      <x:c r="A25" s="9" t="inlineStr">
        <x:is>
          <x:t xml:space="preserve">SOP-25</x:t>
        </x:is>
      </x:c>
      <x:c r="B25" s="9" t="inlineStr">
        <x:is>
          <x:t xml:space="preserve">Procedure</x:t>
        </x:is>
      </x:c>
      <x:c r="C25" s="9" t="inlineStr">
        <x:is>
          <x:t xml:space="preserve">Operations</x:t>
        </x:is>
      </x:c>
      <x:c r="D25" s="13" t="n">
        <x:v>5</x:v>
      </x:c>
      <x:c r="E25" s="9" t="inlineStr">
        <x:is>
          <x:t xml:space="preserve">SOP</x:t>
        </x:is>
      </x:c>
      <x:c r="F25" s="9" t="inlineStr">
        <x:is>
          <x:t xml:space="preserve">SOP: Compute cost anomaly investigation</x:t>
        </x:is>
      </x:c>
      <x:c r="G25" s="14" t="inlineStr">
        <x:is>
          <x:t xml:space="preserve">Procedure to investigate cost spikes, identify offending sources, and tune schedules/throttles.</x:t>
        </x:is>
      </x:c>
      <x:c r="H25" s="14" t="inlineStr">
        <x:is>
          <x:t xml:space="preserve">Cost anomaly SOP</x:t>
        </x:is>
      </x:c>
      <x:c r="I25" s="9" t="inlineStr">
        <x:is>
          <x:t xml:space="preserve">SRE/Operations</x:t>
        </x:is>
      </x:c>
      <x:c r="J25" s="15" t="inlineStr">
        <x:is>
          <x:t xml:space="preserve">R</x:t>
        </x:is>
      </x:c>
      <x:c r="K25" s="15" t="inlineStr">
        <x:is>
          <x:t xml:space="preserve">P2</x:t>
        </x:is>
      </x:c>
      <x:c r="L25" s="15" t="inlineStr">
        <x:is>
          <x:t xml:space="preserve">Not Started</x:t>
        </x:is>
      </x:c>
      <x:c r="M25" s="16" t="n">
        <x:v>2</x:v>
      </x:c>
      <x:c r="N25" s="13" t="n">
        <x:v>2</x:v>
      </x:c>
      <x:c r="O25" s="13" t="n">
        <x:v>13</x:v>
      </x:c>
      <x:c r="P25" s="13">
        <x:f>O25+ROUNDUP(N25/Inputs!$B$4,0)-1</x:f>
        <x:v>13</x:v>
      </x:c>
      <x:c r="Q25" s="17">
        <x:f>Inputs!$B$3+(O25-1)*Inputs!$B$4</x:f>
        <x:v>46160</x:v>
      </x:c>
      <x:c r="R25" s="17">
        <x:f>Q25+N25-1</x:f>
        <x:v>46161</x:v>
      </x:c>
      <x:c r="S25" s="9" t="inlineStr">
        <x:is>
          <x:t xml:space="preserve">SOP-01</x:t>
        </x:is>
      </x:c>
      <x:c r="T25" s="15" t="inlineStr">
        <x:is>
          <x:t xml:space="preserve">N</x:t>
        </x:is>
      </x:c>
      <x:c r="U25" s="14" t="inlineStr">
        <x:is>
          <x:t xml:space="preserve"/>
        </x:is>
      </x:c>
    </x:row>
    <x:row r="26" ht="42" customHeight="1">
      <x:c r="A26" s="9" t="inlineStr">
        <x:is>
          <x:t xml:space="preserve">SOP-18</x:t>
        </x:is>
      </x:c>
      <x:c r="B26" s="9" t="inlineStr">
        <x:is>
          <x:t xml:space="preserve">Procedure</x:t>
        </x:is>
      </x:c>
      <x:c r="C26" s="9" t="inlineStr">
        <x:is>
          <x:t xml:space="preserve">Operations</x:t>
        </x:is>
      </x:c>
      <x:c r="D26" s="13" t="n">
        <x:v>5</x:v>
      </x:c>
      <x:c r="E26" s="9" t="inlineStr">
        <x:is>
          <x:t xml:space="preserve">SOP</x:t>
        </x:is>
      </x:c>
      <x:c r="F26" s="9" t="inlineStr">
        <x:is>
          <x:t xml:space="preserve">SOP: Source decommission</x:t>
        </x:is>
      </x:c>
      <x:c r="G26" s="14" t="inlineStr">
        <x:is>
          <x:t xml:space="preserve">How to disable pipelines, archive configs, set retention, notify stakeholders, and update registry.</x:t>
        </x:is>
      </x:c>
      <x:c r="H26" s="14" t="inlineStr">
        <x:is>
          <x:t xml:space="preserve">Decommission SOP</x:t>
        </x:is>
      </x:c>
      <x:c r="I26" s="9" t="inlineStr">
        <x:is>
          <x:t xml:space="preserve">Data Engineer</x:t>
        </x:is>
      </x:c>
      <x:c r="J26" s="15" t="inlineStr">
        <x:is>
          <x:t xml:space="preserve">R</x:t>
        </x:is>
      </x:c>
      <x:c r="K26" s="15" t="inlineStr">
        <x:is>
          <x:t xml:space="preserve">P3</x:t>
        </x:is>
      </x:c>
      <x:c r="L26" s="15" t="inlineStr">
        <x:is>
          <x:t xml:space="preserve">Not Started</x:t>
        </x:is>
      </x:c>
      <x:c r="M26" s="16" t="n">
        <x:v>2</x:v>
      </x:c>
      <x:c r="N26" s="13" t="n">
        <x:v>2</x:v>
      </x:c>
      <x:c r="O26" s="13" t="n">
        <x:v>15</x:v>
      </x:c>
      <x:c r="P26" s="13">
        <x:f>O26+ROUNDUP(N26/Inputs!$B$4,0)-1</x:f>
        <x:v>15</x:v>
      </x:c>
      <x:c r="Q26" s="17">
        <x:f>Inputs!$B$3+(O26-1)*Inputs!$B$4</x:f>
        <x:v>46174</x:v>
      </x:c>
      <x:c r="R26" s="17">
        <x:f>Q26+N26-1</x:f>
        <x:v>46175</x:v>
      </x:c>
      <x:c r="S26" s="9" t="inlineStr">
        <x:is>
          <x:t xml:space="preserve">PRC-12</x:t>
        </x:is>
      </x:c>
      <x:c r="T26" s="15" t="inlineStr">
        <x:is>
          <x:t xml:space="preserve">N</x:t>
        </x:is>
      </x:c>
      <x:c r="U26" s="14" t="inlineStr">
        <x:is>
          <x:t xml:space="preserve"/>
        </x:is>
      </x:c>
    </x:row>
    <x:row r="27" ht="42" customHeight="1">
      <x:c r="A27" s="9" t="inlineStr">
        <x:is>
          <x:t xml:space="preserve">SOP-16</x:t>
        </x:is>
      </x:c>
      <x:c r="B27" s="9" t="inlineStr">
        <x:is>
          <x:t xml:space="preserve">Procedure</x:t>
        </x:is>
      </x:c>
      <x:c r="C27" s="9" t="inlineStr">
        <x:is>
          <x:t xml:space="preserve">Operations</x:t>
        </x:is>
      </x:c>
      <x:c r="D27" s="13" t="n">
        <x:v>6</x:v>
      </x:c>
      <x:c r="E27" s="9" t="inlineStr">
        <x:is>
          <x:t xml:space="preserve">SOP</x:t>
        </x:is>
      </x:c>
      <x:c r="F27" s="9" t="inlineStr">
        <x:is>
          <x:t xml:space="preserve">SOP: ORR execution and signoff</x:t>
        </x:is>
      </x:c>
      <x:c r="G27" s="14" t="inlineStr">
        <x:is>
          <x:t xml:space="preserve">Step-by-step to run ORR checklist, gather evidence, and secure signoffs.</x:t>
        </x:is>
      </x:c>
      <x:c r="H27" s="14" t="inlineStr">
        <x:is>
          <x:t xml:space="preserve">ORR SOP</x:t>
        </x:is>
      </x:c>
      <x:c r="I27" s="9" t="inlineStr">
        <x:is>
          <x:t xml:space="preserve">SRE/Operations</x:t>
        </x:is>
      </x:c>
      <x:c r="J27" s="15" t="inlineStr">
        <x:is>
          <x:t xml:space="preserve">R</x:t>
        </x:is>
      </x:c>
      <x:c r="K27" s="15" t="inlineStr">
        <x:is>
          <x:t xml:space="preserve">P0</x:t>
        </x:is>
      </x:c>
      <x:c r="L27" s="15" t="inlineStr">
        <x:is>
          <x:t xml:space="preserve">Not Started</x:t>
        </x:is>
      </x:c>
      <x:c r="M27" s="16" t="n">
        <x:v>2</x:v>
      </x:c>
      <x:c r="N27" s="13" t="n">
        <x:v>2</x:v>
      </x:c>
      <x:c r="O27" s="13" t="n">
        <x:v>12</x:v>
      </x:c>
      <x:c r="P27" s="13">
        <x:f>O27+ROUNDUP(N27/Inputs!$B$4,0)-1</x:f>
        <x:v>12</x:v>
      </x:c>
      <x:c r="Q27" s="17">
        <x:f>Inputs!$B$3+(O27-1)*Inputs!$B$4</x:f>
        <x:v>46153</x:v>
      </x:c>
      <x:c r="R27" s="17">
        <x:f>Q27+N27-1</x:f>
        <x:v>46154</x:v>
      </x:c>
      <x:c r="S27" s="9" t="inlineStr">
        <x:is>
          <x:t xml:space="preserve">PRC-10</x:t>
        </x:is>
      </x:c>
      <x:c r="T27" s="15" t="inlineStr">
        <x:is>
          <x:t xml:space="preserve">N</x:t>
        </x:is>
      </x:c>
      <x:c r="U27" s="14" t="inlineStr">
        <x:is>
          <x:t xml:space="preserve"/>
        </x:is>
      </x:c>
    </x:row>
    <x:row r="28" ht="42" customHeight="1">
      <x:c r="A28" s="9" t="inlineStr">
        <x:is>
          <x:t xml:space="preserve">SOP-17</x:t>
        </x:is>
      </x:c>
      <x:c r="B28" s="9" t="inlineStr">
        <x:is>
          <x:t xml:space="preserve">Procedure</x:t>
        </x:is>
      </x:c>
      <x:c r="C28" s="9" t="inlineStr">
        <x:is>
          <x:t xml:space="preserve">Operations</x:t>
        </x:is>
      </x:c>
      <x:c r="D28" s="13" t="n">
        <x:v>6</x:v>
      </x:c>
      <x:c r="E28" s="9" t="inlineStr">
        <x:is>
          <x:t xml:space="preserve">SOP</x:t>
        </x:is>
      </x:c>
      <x:c r="F28" s="9" t="inlineStr">
        <x:is>
          <x:t xml:space="preserve">SOP: Post-incident review (PIR) / postmortem</x:t>
        </x:is>
      </x:c>
      <x:c r="G28" s="14" t="inlineStr">
        <x:is>
          <x:t xml:space="preserve">How to conduct PIRs, write report, track action items and update runbooks/policies.</x:t>
        </x:is>
      </x:c>
      <x:c r="H28" s="14" t="inlineStr">
        <x:is>
          <x:t xml:space="preserve">PIR template + SOP</x:t>
        </x:is>
      </x:c>
      <x:c r="I28" s="9" t="inlineStr">
        <x:is>
          <x:t xml:space="preserve">SRE/Operations</x:t>
        </x:is>
      </x:c>
      <x:c r="J28" s="15" t="inlineStr">
        <x:is>
          <x:t xml:space="preserve">R</x:t>
        </x:is>
      </x:c>
      <x:c r="K28" s="15" t="inlineStr">
        <x:is>
          <x:t xml:space="preserve">P1</x:t>
        </x:is>
      </x:c>
      <x:c r="L28" s="15" t="inlineStr">
        <x:is>
          <x:t xml:space="preserve">Not Started</x:t>
        </x:is>
      </x:c>
      <x:c r="M28" s="16" t="n">
        <x:v>2</x:v>
      </x:c>
      <x:c r="N28" s="13" t="n">
        <x:v>2</x:v>
      </x:c>
      <x:c r="O28" s="13" t="n">
        <x:v>12</x:v>
      </x:c>
      <x:c r="P28" s="13">
        <x:f>O28+ROUNDUP(N28/Inputs!$B$4,0)-1</x:f>
        <x:v>12</x:v>
      </x:c>
      <x:c r="Q28" s="17">
        <x:f>Inputs!$B$3+(O28-1)*Inputs!$B$4</x:f>
        <x:v>46153</x:v>
      </x:c>
      <x:c r="R28" s="17">
        <x:f>Q28+N28-1</x:f>
        <x:v>46154</x:v>
      </x:c>
      <x:c r="S28" s="9" t="inlineStr">
        <x:is>
          <x:t xml:space="preserve">PRC-02</x:t>
        </x:is>
      </x:c>
      <x:c r="T28" s="15" t="inlineStr">
        <x:is>
          <x:t xml:space="preserve">N</x:t>
        </x:is>
      </x:c>
      <x:c r="U28" s="14" t="inlineStr">
        <x:is>
          <x:t xml:space="preserve"/>
        </x:is>
      </x:c>
    </x:row>
  </x:sheetData>
  <x:mergeCells>
    <x:mergeCell ref="A1:U1"/>
    <x:mergeCell ref="A2:U2"/>
  </x:mergeCells>
  <x:conditionalFormatting sqref="K4:K28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28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28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Design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DSN-01</x:t>
        </x:is>
      </x:c>
      <x:c r="B4" s="9" t="inlineStr">
        <x:is>
          <x:t xml:space="preserve">Design</x:t>
        </x:is>
      </x:c>
      <x:c r="C4" s="9" t="inlineStr">
        <x:is>
          <x:t xml:space="preserve">Architecture</x:t>
        </x:is>
      </x:c>
      <x:c r="D4" s="13" t="n">
        <x:v>0</x:v>
      </x:c>
      <x:c r="E4" s="9" t="inlineStr">
        <x:is>
          <x:t xml:space="preserve">Reference Architecture</x:t>
        </x:is>
      </x:c>
      <x:c r="F4" s="9" t="inlineStr">
        <x:is>
          <x:t xml:space="preserve">Define target reference architecture</x:t>
        </x:is>
      </x:c>
      <x:c r="G4" s="14" t="inlineStr">
        <x:is>
          <x:t xml:space="preserve">Define control plane, compute model, bronze contract, orchestration, observability, security, lineage, and environments.</x:t>
        </x:is>
      </x:c>
      <x:c r="H4" s="14" t="inlineStr">
        <x:is>
          <x:t xml:space="preserve">Architecture diagram + ADRs</x:t>
        </x:is>
      </x:c>
      <x:c r="I4" s="9" t="inlineStr">
        <x:is>
          <x:t xml:space="preserve">Data Platform Architect</x:t>
        </x:is>
      </x:c>
      <x:c r="J4" s="15" t="inlineStr">
        <x:is>
          <x:t xml:space="preserve">A</x:t>
        </x:is>
      </x:c>
      <x:c r="K4" s="15" t="inlineStr">
        <x:is>
          <x:t xml:space="preserve">P0</x:t>
        </x:is>
      </x:c>
      <x:c r="L4" s="15" t="inlineStr">
        <x:is>
          <x:t xml:space="preserve">Not Started</x:t>
        </x:is>
      </x:c>
      <x:c r="M4" s="16" t="n">
        <x:v>8</x:v>
      </x:c>
      <x:c r="N4" s="13" t="n">
        <x:v>10</x:v>
      </x:c>
      <x:c r="O4" s="13" t="n">
        <x:v>1</x:v>
      </x:c>
      <x:c r="P4" s="13">
        <x:f>O4+ROUNDUP(N4/Inputs!$B$4,0)-1</x:f>
        <x:v>2</x:v>
      </x:c>
      <x:c r="Q4" s="17">
        <x:f>Inputs!$B$3+(O4-1)*Inputs!$B$4</x:f>
        <x:v>46076</x:v>
      </x:c>
      <x:c r="R4" s="17">
        <x:f>Q4+N4-1</x:f>
        <x:v>46085</x:v>
      </x:c>
      <x:c r="S4" s="9" t="inlineStr">
        <x:is>
          <x:t xml:space="preserve">PLY-01</x:t>
        </x:is>
      </x:c>
      <x:c r="T4" s="15" t="inlineStr">
        <x:is>
          <x:t xml:space="preserve">N</x:t>
        </x:is>
      </x:c>
      <x:c r="U4" s="14" t="inlineStr">
        <x:is>
          <x:t xml:space="preserve"/>
        </x:is>
      </x:c>
    </x:row>
    <x:row r="5" ht="42" customHeight="1">
      <x:c r="A5" s="9" t="inlineStr">
        <x:is>
          <x:t xml:space="preserve">DSN-02</x:t>
        </x:is>
      </x:c>
      <x:c r="B5" s="9" t="inlineStr">
        <x:is>
          <x:t xml:space="preserve">Design</x:t>
        </x:is>
      </x:c>
      <x:c r="C5" s="9" t="inlineStr">
        <x:is>
          <x:t xml:space="preserve">Control Plane</x:t>
        </x:is>
      </x:c>
      <x:c r="D5" s="13" t="n">
        <x:v>1</x:v>
      </x:c>
      <x:c r="E5" s="9" t="inlineStr">
        <x:is>
          <x:t xml:space="preserve">Metadata Registry</x:t>
        </x:is>
      </x:c>
      <x:c r="F5" s="9" t="inlineStr">
        <x:is>
          <x:t xml:space="preserve">Design control plane schema (sources/endpoints/state/runs/errors)</x:t>
        </x:is>
      </x:c>
      <x:c r="G5" s="14" t="inlineStr">
        <x:is>
          <x:t xml:space="preserve">Define Delta table schemas, keys, partitioning, indexing strategy, ownership fields, SLO fields.</x:t>
        </x:is>
      </x:c>
      <x:c r="H5" s="14" t="inlineStr">
        <x:is>
          <x:t xml:space="preserve">Control plane data model spec</x:t>
        </x:is>
      </x:c>
      <x:c r="I5" s="9" t="inlineStr">
        <x:is>
          <x:t xml:space="preserve">Data Platform Architect</x:t>
        </x:is>
      </x:c>
      <x:c r="J5" s="15" t="inlineStr">
        <x:is>
          <x:t xml:space="preserve">A</x:t>
        </x:is>
      </x:c>
      <x:c r="K5" s="15" t="inlineStr">
        <x:is>
          <x:t xml:space="preserve">P0</x:t>
        </x:is>
      </x:c>
      <x:c r="L5" s="15" t="inlineStr">
        <x:is>
          <x:t xml:space="preserve">Not Started</x:t>
        </x:is>
      </x:c>
      <x:c r="M5" s="16" t="n">
        <x:v>6</x:v>
      </x:c>
      <x:c r="N5" s="13" t="n">
        <x:v>7</x:v>
      </x:c>
      <x:c r="O5" s="13" t="n">
        <x:v>2</x:v>
      </x:c>
      <x:c r="P5" s="13">
        <x:f>O5+ROUNDUP(N5/Inputs!$B$4,0)-1</x:f>
        <x:v>2</x:v>
      </x:c>
      <x:c r="Q5" s="17">
        <x:f>Inputs!$B$3+(O5-1)*Inputs!$B$4</x:f>
        <x:v>46083</x:v>
      </x:c>
      <x:c r="R5" s="17">
        <x:f>Q5+N5-1</x:f>
        <x:v>46089</x:v>
      </x:c>
      <x:c r="S5" s="9" t="inlineStr">
        <x:is>
          <x:t xml:space="preserve">DSN-01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DSN-03</x:t>
        </x:is>
      </x:c>
      <x:c r="B6" s="9" t="inlineStr">
        <x:is>
          <x:t xml:space="preserve">Design</x:t>
        </x:is>
      </x:c>
      <x:c r="C6" s="9" t="inlineStr">
        <x:is>
          <x:t xml:space="preserve">Connector SDK</x:t>
        </x:is>
      </x:c>
      <x:c r="D6" s="13" t="n">
        <x:v>1</x:v>
      </x:c>
      <x:c r="E6" s="9" t="inlineStr">
        <x:is>
          <x:t xml:space="preserve">Connector Interface</x:t>
        </x:is>
      </x:c>
      <x:c r="F6" s="9" t="inlineStr">
        <x:is>
          <x:t xml:space="preserve">Design connector SDK interface &amp; packaging</x:t>
        </x:is>
      </x:c>
      <x:c r="G6" s="14" t="inlineStr">
        <x:is>
          <x:t xml:space="preserve">Define connector contract methods, error handling conventions, versioning, and packaging (wheel).</x:t>
        </x:is>
      </x:c>
      <x:c r="H6" s="14" t="inlineStr">
        <x:is>
          <x:t xml:space="preserve">Connector SDK spec</x:t>
        </x:is>
      </x:c>
      <x:c r="I6" s="9" t="inlineStr">
        <x:is>
          <x:t xml:space="preserve">Data Engineer</x:t>
        </x:is>
      </x:c>
      <x:c r="J6" s="15" t="inlineStr">
        <x:is>
          <x:t xml:space="preserve">R</x:t>
        </x:is>
      </x:c>
      <x:c r="K6" s="15" t="inlineStr">
        <x:is>
          <x:t xml:space="preserve">P0</x:t>
        </x:is>
      </x:c>
      <x:c r="L6" s="15" t="inlineStr">
        <x:is>
          <x:t xml:space="preserve">Not Started</x:t>
        </x:is>
      </x:c>
      <x:c r="M6" s="16" t="n">
        <x:v>5</x:v>
      </x:c>
      <x:c r="N6" s="13" t="n">
        <x:v>6</x:v>
      </x:c>
      <x:c r="O6" s="13" t="n">
        <x:v>2</x:v>
      </x:c>
      <x:c r="P6" s="13">
        <x:f>O6+ROUNDUP(N6/Inputs!$B$4,0)-1</x:f>
        <x:v>2</x:v>
      </x:c>
      <x:c r="Q6" s="17">
        <x:f>Inputs!$B$3+(O6-1)*Inputs!$B$4</x:f>
        <x:v>46083</x:v>
      </x:c>
      <x:c r="R6" s="17">
        <x:f>Q6+N6-1</x:f>
        <x:v>46088</x:v>
      </x:c>
      <x:c r="S6" s="9" t="inlineStr">
        <x:is>
          <x:t xml:space="preserve">DSN-01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DSN-04</x:t>
        </x:is>
      </x:c>
      <x:c r="B7" s="9" t="inlineStr">
        <x:is>
          <x:t xml:space="preserve">Design</x:t>
        </x:is>
      </x:c>
      <x:c r="C7" s="9" t="inlineStr">
        <x:is>
          <x:t xml:space="preserve">Runtime</x:t>
        </x:is>
      </x:c>
      <x:c r="D7" s="13" t="n">
        <x:v>1</x:v>
      </x:c>
      <x:c r="E7" s="9" t="inlineStr">
        <x:is>
          <x:t xml:space="preserve">Extraction Runtime</x:t>
        </x:is>
      </x:c>
      <x:c r="F7" s="9" t="inlineStr">
        <x:is>
          <x:t xml:space="preserve">Design extraction runtime behaviors</x:t>
        </x:is>
      </x:c>
      <x:c r="G7" s="14" t="inlineStr">
        <x:is>
          <x:t xml:space="preserve">Retry/backoff, pagination patterns, throttling, circuit breaker, incremental strategies, idempotency/dedupe.</x:t>
        </x:is>
      </x:c>
      <x:c r="H7" s="14" t="inlineStr">
        <x:is>
          <x:t xml:space="preserve">Runtime design spec</x:t>
        </x:is>
      </x:c>
      <x:c r="I7" s="9" t="inlineStr">
        <x:is>
          <x:t xml:space="preserve">Data Engineer</x:t>
        </x:is>
      </x:c>
      <x:c r="J7" s="15" t="inlineStr">
        <x:is>
          <x:t xml:space="preserve">R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6</x:v>
      </x:c>
      <x:c r="N7" s="13" t="n">
        <x:v>7</x:v>
      </x:c>
      <x:c r="O7" s="13" t="n">
        <x:v>3</x:v>
      </x:c>
      <x:c r="P7" s="13">
        <x:f>O7+ROUNDUP(N7/Inputs!$B$4,0)-1</x:f>
        <x:v>3</x:v>
      </x:c>
      <x:c r="Q7" s="17">
        <x:f>Inputs!$B$3+(O7-1)*Inputs!$B$4</x:f>
        <x:v>46090</x:v>
      </x:c>
      <x:c r="R7" s="17">
        <x:f>Q7+N7-1</x:f>
        <x:v>46096</x:v>
      </x:c>
      <x:c r="S7" s="9" t="inlineStr">
        <x:is>
          <x:t xml:space="preserve">DSN-03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9" t="inlineStr">
        <x:is>
          <x:t xml:space="preserve">DSN-05</x:t>
        </x:is>
      </x:c>
      <x:c r="B8" s="9" t="inlineStr">
        <x:is>
          <x:t xml:space="preserve">Design</x:t>
        </x:is>
      </x:c>
      <x:c r="C8" s="9" t="inlineStr">
        <x:is>
          <x:t xml:space="preserve">Bronze</x:t>
        </x:is>
      </x:c>
      <x:c r="D8" s="13" t="n">
        <x:v>1</x:v>
      </x:c>
      <x:c r="E8" s="9" t="inlineStr">
        <x:is>
          <x:t xml:space="preserve">Bronze Contract</x:t>
        </x:is>
      </x:c>
      <x:c r="F8" s="9" t="inlineStr">
        <x:is>
          <x:t xml:space="preserve">Design Bronze table contract</x:t>
        </x:is>
      </x:c>
      <x:c r="G8" s="14" t="inlineStr">
        <x:is>
          <x:t xml:space="preserve">Define required metadata columns, raw payload storage type, partitioning, naming, retention hooks.</x:t>
        </x:is>
      </x:c>
      <x:c r="H8" s="14" t="inlineStr">
        <x:is>
          <x:t xml:space="preserve">Bronze contract spec</x:t>
        </x:is>
      </x:c>
      <x:c r="I8" s="9" t="inlineStr">
        <x:is>
          <x:t xml:space="preserve">Data Platform Architect</x:t>
        </x:is>
      </x:c>
      <x:c r="J8" s="15" t="inlineStr">
        <x:is>
          <x:t xml:space="preserve">A</x:t>
        </x:is>
      </x:c>
      <x:c r="K8" s="15" t="inlineStr">
        <x:is>
          <x:t xml:space="preserve">P0</x:t>
        </x:is>
      </x:c>
      <x:c r="L8" s="15" t="inlineStr">
        <x:is>
          <x:t xml:space="preserve">Not Started</x:t>
        </x:is>
      </x:c>
      <x:c r="M8" s="16" t="n">
        <x:v>4</x:v>
      </x:c>
      <x:c r="N8" s="13" t="n">
        <x:v>5</x:v>
      </x:c>
      <x:c r="O8" s="13" t="n">
        <x:v>3</x:v>
      </x:c>
      <x:c r="P8" s="13">
        <x:f>O8+ROUNDUP(N8/Inputs!$B$4,0)-1</x:f>
        <x:v>3</x:v>
      </x:c>
      <x:c r="Q8" s="17">
        <x:f>Inputs!$B$3+(O8-1)*Inputs!$B$4</x:f>
        <x:v>46090</x:v>
      </x:c>
      <x:c r="R8" s="17">
        <x:f>Q8+N8-1</x:f>
        <x:v>46094</x:v>
      </x:c>
      <x:c r="S8" s="9" t="inlineStr">
        <x:is>
          <x:t xml:space="preserve">DSN-02</x:t>
        </x:is>
      </x:c>
      <x:c r="T8" s="15" t="inlineStr">
        <x:is>
          <x:t xml:space="preserve">N</x:t>
        </x:is>
      </x:c>
      <x:c r="U8" s="14" t="inlineStr">
        <x:is>
          <x:t xml:space="preserve"/>
        </x:is>
      </x:c>
    </x:row>
    <x:row r="9" ht="42" customHeight="1">
      <x:c r="A9" s="9" t="inlineStr">
        <x:is>
          <x:t xml:space="preserve">DSN-06</x:t>
        </x:is>
      </x:c>
      <x:c r="B9" s="9" t="inlineStr">
        <x:is>
          <x:t xml:space="preserve">Design</x:t>
        </x:is>
      </x:c>
      <x:c r="C9" s="9" t="inlineStr">
        <x:is>
          <x:t xml:space="preserve">Orchestration</x:t>
        </x:is>
      </x:c>
      <x:c r="D9" s="13" t="n">
        <x:v>1</x:v>
      </x:c>
      <x:c r="E9" s="9" t="inlineStr">
        <x:is>
          <x:t xml:space="preserve">Scheduling</x:t>
        </x:is>
      </x:c>
      <x:c r="F9" s="9" t="inlineStr">
        <x:is>
          <x:t xml:space="preserve">Design orchestration approach</x:t>
        </x:is>
      </x:c>
      <x:c r="G9" s="14" t="inlineStr">
        <x:is>
          <x:t xml:space="preserve">Controller job vs job-per-source strategy, concurrency controls, scheduling, backfill workflow pattern.</x:t>
        </x:is>
      </x:c>
      <x:c r="H9" s="14" t="inlineStr">
        <x:is>
          <x:t xml:space="preserve">Orchestration design spec</x:t>
        </x:is>
      </x:c>
      <x:c r="I9" s="9" t="inlineStr">
        <x:is>
          <x:t xml:space="preserve">Data Platform Architect</x:t>
        </x:is>
      </x:c>
      <x:c r="J9" s="15" t="inlineStr">
        <x:is>
          <x:t xml:space="preserve">A</x:t>
        </x:is>
      </x:c>
      <x:c r="K9" s="15" t="inlineStr">
        <x:is>
          <x:t xml:space="preserve">P1</x:t>
        </x:is>
      </x:c>
      <x:c r="L9" s="15" t="inlineStr">
        <x:is>
          <x:t xml:space="preserve">Not Started</x:t>
        </x:is>
      </x:c>
      <x:c r="M9" s="16" t="n">
        <x:v>4</x:v>
      </x:c>
      <x:c r="N9" s="13" t="n">
        <x:v>5</x:v>
      </x:c>
      <x:c r="O9" s="13" t="n">
        <x:v>3</x:v>
      </x:c>
      <x:c r="P9" s="13">
        <x:f>O9+ROUNDUP(N9/Inputs!$B$4,0)-1</x:f>
        <x:v>3</x:v>
      </x:c>
      <x:c r="Q9" s="17">
        <x:f>Inputs!$B$3+(O9-1)*Inputs!$B$4</x:f>
        <x:v>46090</x:v>
      </x:c>
      <x:c r="R9" s="17">
        <x:f>Q9+N9-1</x:f>
        <x:v>46094</x:v>
      </x:c>
      <x:c r="S9" s="9" t="inlineStr">
        <x:is>
          <x:t xml:space="preserve">DSN-01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DSN-16</x:t>
        </x:is>
      </x:c>
      <x:c r="B10" s="9" t="inlineStr">
        <x:is>
          <x:t xml:space="preserve">Design</x:t>
        </x:is>
      </x:c>
      <x:c r="C10" s="9" t="inlineStr">
        <x:is>
          <x:t xml:space="preserve">Compute</x:t>
        </x:is>
      </x:c>
      <x:c r="D10" s="13" t="n">
        <x:v>1</x:v>
      </x:c>
      <x:c r="E10" s="9" t="inlineStr">
        <x:is>
          <x:t xml:space="preserve">Compute Policies</x:t>
        </x:is>
      </x:c>
      <x:c r="F10" s="9" t="inlineStr">
        <x:is>
          <x:t xml:space="preserve">Design compute model &amp; cluster policies</x:t>
        </x:is>
      </x:c>
      <x:c r="G10" s="14" t="inlineStr">
        <x:is>
          <x:t xml:space="preserve">Define cluster/job compute, autoscaling, instance types, cost controls, cluster policies.</x:t>
        </x:is>
      </x:c>
      <x:c r="H10" s="14" t="inlineStr">
        <x:is>
          <x:t xml:space="preserve">Compute policy design</x:t>
        </x:is>
      </x:c>
      <x:c r="I10" s="9" t="inlineStr">
        <x:is>
          <x:t xml:space="preserve">DevOps/Platform Eng</x:t>
        </x:is>
      </x:c>
      <x:c r="J10" s="15" t="inlineStr">
        <x:is>
          <x:t xml:space="preserve">A</x:t>
        </x:is>
      </x:c>
      <x:c r="K10" s="15" t="inlineStr">
        <x:is>
          <x:t xml:space="preserve">P1</x:t>
        </x:is>
      </x:c>
      <x:c r="L10" s="15" t="inlineStr">
        <x:is>
          <x:t xml:space="preserve">Not Started</x:t>
        </x:is>
      </x:c>
      <x:c r="M10" s="16" t="n">
        <x:v>3</x:v>
      </x:c>
      <x:c r="N10" s="13" t="n">
        <x:v>4</x:v>
      </x:c>
      <x:c r="O10" s="13" t="n">
        <x:v>4</x:v>
      </x:c>
      <x:c r="P10" s="13">
        <x:f>O10+ROUNDUP(N10/Inputs!$B$4,0)-1</x:f>
        <x:v>4</x:v>
      </x:c>
      <x:c r="Q10" s="17">
        <x:f>Inputs!$B$3+(O10-1)*Inputs!$B$4</x:f>
        <x:v>46097</x:v>
      </x:c>
      <x:c r="R10" s="17">
        <x:f>Q10+N10-1</x:f>
        <x:v>46100</x:v>
      </x:c>
      <x:c r="S10" s="9" t="inlineStr">
        <x:is>
          <x:t xml:space="preserve">DSN-01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DSN-18</x:t>
        </x:is>
      </x:c>
      <x:c r="B11" s="9" t="inlineStr">
        <x:is>
          <x:t xml:space="preserve">Design</x:t>
        </x:is>
      </x:c>
      <x:c r="C11" s="9" t="inlineStr">
        <x:is>
          <x:t xml:space="preserve">Testing</x:t>
        </x:is>
      </x:c>
      <x:c r="D11" s="13" t="n">
        <x:v>1</x:v>
      </x:c>
      <x:c r="E11" s="9" t="inlineStr">
        <x:is>
          <x:t xml:space="preserve">Test Strategy</x:t>
        </x:is>
      </x:c>
      <x:c r="F11" s="9" t="inlineStr">
        <x:is>
          <x:t xml:space="preserve">Design testing strategy (unit/integration/contract)</x:t>
        </x:is>
      </x:c>
      <x:c r="G11" s="14" t="inlineStr">
        <x:is>
          <x:t xml:space="preserve">Define test harness, mocking patterns, golden responses, env gates, and smoke tests.</x:t>
        </x:is>
      </x:c>
      <x:c r="H11" s="14" t="inlineStr">
        <x:is>
          <x:t xml:space="preserve">Test strategy doc</x:t>
        </x:is>
      </x:c>
      <x:c r="I11" s="9" t="inlineStr">
        <x:is>
          <x:t xml:space="preserve">QA/Test</x:t>
        </x:is>
      </x:c>
      <x:c r="J11" s="15" t="inlineStr">
        <x:is>
          <x:t xml:space="preserve">A</x:t>
        </x:is>
      </x:c>
      <x:c r="K11" s="15" t="inlineStr">
        <x:is>
          <x:t xml:space="preserve">P1</x:t>
        </x:is>
      </x:c>
      <x:c r="L11" s="15" t="inlineStr">
        <x:is>
          <x:t xml:space="preserve">Not Started</x:t>
        </x:is>
      </x:c>
      <x:c r="M11" s="16" t="n">
        <x:v>4</x:v>
      </x:c>
      <x:c r="N11" s="13" t="n">
        <x:v>5</x:v>
      </x:c>
      <x:c r="O11" s="13" t="n">
        <x:v>4</x:v>
      </x:c>
      <x:c r="P11" s="13">
        <x:f>O11+ROUNDUP(N11/Inputs!$B$4,0)-1</x:f>
        <x:v>4</x:v>
      </x:c>
      <x:c r="Q11" s="17">
        <x:f>Inputs!$B$3+(O11-1)*Inputs!$B$4</x:f>
        <x:v>46097</x:v>
      </x:c>
      <x:c r="R11" s="17">
        <x:f>Q11+N11-1</x:f>
        <x:v>46101</x:v>
      </x:c>
      <x:c r="S11" s="9" t="inlineStr">
        <x:is>
          <x:t xml:space="preserve">DSN-03,DSN-14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DSN-07</x:t>
        </x:is>
      </x:c>
      <x:c r="B12" s="9" t="inlineStr">
        <x:is>
          <x:t xml:space="preserve">Design</x:t>
        </x:is>
      </x:c>
      <x:c r="C12" s="9" t="inlineStr">
        <x:is>
          <x:t xml:space="preserve">Security</x:t>
        </x:is>
      </x:c>
      <x:c r="D12" s="13" t="n">
        <x:v>2</x:v>
      </x:c>
      <x:c r="E12" s="9" t="inlineStr">
        <x:is>
          <x:t xml:space="preserve">Secrets &amp; Identity</x:t>
        </x:is>
      </x:c>
      <x:c r="F12" s="9" t="inlineStr">
        <x:is>
          <x:t xml:space="preserve">Design secrets integration &amp; auth patterns</x:t>
        </x:is>
      </x:c>
      <x:c r="G12" s="14" t="inlineStr">
        <x:is>
          <x:t xml:space="preserve">External secret manager integration, secret naming conventions, OAuth2 flows, token caching/refresh patterns.</x:t>
        </x:is>
      </x:c>
      <x:c r="H12" s="14" t="inlineStr">
        <x:is>
          <x:t xml:space="preserve">Security &amp; auth design spec</x:t>
        </x:is>
      </x:c>
      <x:c r="I12" s="9" t="inlineStr">
        <x:is>
          <x:t xml:space="preserve">Security/Identity Eng</x:t>
        </x:is>
      </x:c>
      <x:c r="J12" s="15" t="inlineStr">
        <x:is>
          <x:t xml:space="preserve">A</x:t>
        </x:is>
      </x:c>
      <x:c r="K12" s="15" t="inlineStr">
        <x:is>
          <x:t xml:space="preserve">P0</x:t>
        </x:is>
      </x:c>
      <x:c r="L12" s="15" t="inlineStr">
        <x:is>
          <x:t xml:space="preserve">Not Started</x:t>
        </x:is>
      </x:c>
      <x:c r="M12" s="16" t="n">
        <x:v>5</x:v>
      </x:c>
      <x:c r="N12" s="13" t="n">
        <x:v>6</x:v>
      </x:c>
      <x:c r="O12" s="13" t="n">
        <x:v>3</x:v>
      </x:c>
      <x:c r="P12" s="13">
        <x:f>O12+ROUNDUP(N12/Inputs!$B$4,0)-1</x:f>
        <x:v>3</x:v>
      </x:c>
      <x:c r="Q12" s="17">
        <x:f>Inputs!$B$3+(O12-1)*Inputs!$B$4</x:f>
        <x:v>46090</x:v>
      </x:c>
      <x:c r="R12" s="17">
        <x:f>Q12+N12-1</x:f>
        <x:v>46095</x:v>
      </x:c>
      <x:c r="S12" s="9" t="inlineStr">
        <x:is>
          <x:t xml:space="preserve">PLY-03,DSN-03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DSN-14</x:t>
        </x:is>
      </x:c>
      <x:c r="B13" s="9" t="inlineStr">
        <x:is>
          <x:t xml:space="preserve">Design</x:t>
        </x:is>
      </x:c>
      <x:c r="C13" s="9" t="inlineStr">
        <x:is>
          <x:t xml:space="preserve">DevSecOps</x:t>
        </x:is>
      </x:c>
      <x:c r="D13" s="13" t="n">
        <x:v>2</x:v>
      </x:c>
      <x:c r="E13" s="9" t="inlineStr">
        <x:is>
          <x:t xml:space="preserve">CI/CD</x:t>
        </x:is>
      </x:c>
      <x:c r="F13" s="9" t="inlineStr">
        <x:is>
          <x:t xml:space="preserve">Design CI/CD pipeline and IaC approach</x:t>
        </x:is>
      </x:c>
      <x:c r="G13" s="14" t="inlineStr">
        <x:is>
          <x:t xml:space="preserve">Define tests, scanning, artifacts, deployment strategy, environment configs, approval gates, Terraform modules.</x:t>
        </x:is>
      </x:c>
      <x:c r="H13" s="14" t="inlineStr">
        <x:is>
          <x:t xml:space="preserve">CI/CD &amp; IaC design spec</x:t>
        </x:is>
      </x:c>
      <x:c r="I13" s="9" t="inlineStr">
        <x:is>
          <x:t xml:space="preserve">DevOps/Platform Eng</x:t>
        </x:is>
      </x:c>
      <x:c r="J13" s="15" t="inlineStr">
        <x:is>
          <x:t xml:space="preserve">A</x:t>
        </x:is>
      </x:c>
      <x:c r="K13" s="15" t="inlineStr">
        <x:is>
          <x:t xml:space="preserve">P0</x:t>
        </x:is>
      </x:c>
      <x:c r="L13" s="15" t="inlineStr">
        <x:is>
          <x:t xml:space="preserve">Not Started</x:t>
        </x:is>
      </x:c>
      <x:c r="M13" s="16" t="n">
        <x:v>6</x:v>
      </x:c>
      <x:c r="N13" s="13" t="n">
        <x:v>7</x:v>
      </x:c>
      <x:c r="O13" s="13" t="n">
        <x:v>4</x:v>
      </x:c>
      <x:c r="P13" s="13">
        <x:f>O13+ROUNDUP(N13/Inputs!$B$4,0)-1</x:f>
        <x:v>4</x:v>
      </x:c>
      <x:c r="Q13" s="17">
        <x:f>Inputs!$B$3+(O13-1)*Inputs!$B$4</x:f>
        <x:v>46097</x:v>
      </x:c>
      <x:c r="R13" s="17">
        <x:f>Q13+N13-1</x:f>
        <x:v>46103</x:v>
      </x:c>
      <x:c r="S13" s="9" t="inlineStr">
        <x:is>
          <x:t xml:space="preserve">PLY-07,PLY-08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DSN-15</x:t>
        </x:is>
      </x:c>
      <x:c r="B14" s="9" t="inlineStr">
        <x:is>
          <x:t xml:space="preserve">Design</x:t>
        </x:is>
      </x:c>
      <x:c r="C14" s="9" t="inlineStr">
        <x:is>
          <x:t xml:space="preserve">Governance</x:t>
        </x:is>
      </x:c>
      <x:c r="D14" s="13" t="n">
        <x:v>2</x:v>
      </x:c>
      <x:c r="E14" s="9" t="inlineStr">
        <x:is>
          <x:t xml:space="preserve">Documentation</x:t>
        </x:is>
      </x:c>
      <x:c r="F14" s="9" t="inlineStr">
        <x:is>
          <x:t xml:space="preserve">Design operations handbook structure</x:t>
        </x:is>
      </x:c>
      <x:c r="G14" s="14" t="inlineStr">
        <x:is>
          <x:t xml:space="preserve">Define handbook sections: architecture, SLOs, dashboards, alerts, runbooks, on-call, escalation.</x:t>
        </x:is>
      </x:c>
      <x:c r="H14" s="14" t="inlineStr">
        <x:is>
          <x:t xml:space="preserve">Ops handbook outline</x:t>
        </x:is>
      </x:c>
      <x:c r="I14" s="9" t="inlineStr">
        <x:is>
          <x:t xml:space="preserve">SRE/Operations</x:t>
        </x:is>
      </x:c>
      <x:c r="J14" s="15" t="inlineStr">
        <x:is>
          <x:t xml:space="preserve">A</x:t>
        </x:is>
      </x:c>
      <x:c r="K14" s="15" t="inlineStr">
        <x:is>
          <x:t xml:space="preserve">P1</x:t>
        </x:is>
      </x:c>
      <x:c r="L14" s="15" t="inlineStr">
        <x:is>
          <x:t xml:space="preserve">Not Started</x:t>
        </x:is>
      </x:c>
      <x:c r="M14" s="16" t="n">
        <x:v>3</x:v>
      </x:c>
      <x:c r="N14" s="13" t="n">
        <x:v>3</x:v>
      </x:c>
      <x:c r="O14" s="13" t="n">
        <x:v>6</x:v>
      </x:c>
      <x:c r="P14" s="13">
        <x:f>O14+ROUNDUP(N14/Inputs!$B$4,0)-1</x:f>
        <x:v>6</x:v>
      </x:c>
      <x:c r="Q14" s="17">
        <x:f>Inputs!$B$3+(O14-1)*Inputs!$B$4</x:f>
        <x:v>46111</x:v>
      </x:c>
      <x:c r="R14" s="17">
        <x:f>Q14+N14-1</x:f>
        <x:v>46113</x:v>
      </x:c>
      <x:c r="S14" s="9" t="inlineStr">
        <x:is>
          <x:t xml:space="preserve">PRC-01,DSN-01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DSN-17</x:t>
        </x:is>
      </x:c>
      <x:c r="B15" s="9" t="inlineStr">
        <x:is>
          <x:t xml:space="preserve">Design</x:t>
        </x:is>
      </x:c>
      <x:c r="C15" s="9" t="inlineStr">
        <x:is>
          <x:t xml:space="preserve">Governance</x:t>
        </x:is>
      </x:c>
      <x:c r="D15" s="13" t="n">
        <x:v>2</x:v>
      </x:c>
      <x:c r="E15" s="9" t="inlineStr">
        <x:is>
          <x:t xml:space="preserve">Retention Implementation</x:t>
        </x:is>
      </x:c>
      <x:c r="F15" s="9" t="inlineStr">
        <x:is>
          <x:t xml:space="preserve">Design retention purge implementation</x:t>
        </x:is>
      </x:c>
      <x:c r="G15" s="14" t="inlineStr">
        <x:is>
          <x:t xml:space="preserve">Define purge job patterns, legal hold exceptions, and verification reporting.</x:t>
        </x:is>
      </x:c>
      <x:c r="H15" s="14" t="inlineStr">
        <x:is>
          <x:t xml:space="preserve">Purge design spec</x:t>
        </x:is>
      </x:c>
      <x:c r="I15" s="9" t="inlineStr">
        <x:is>
          <x:t xml:space="preserve">Data Engineer</x:t>
        </x:is>
      </x:c>
      <x:c r="J15" s="15" t="inlineStr">
        <x:is>
          <x:t xml:space="preserve">R</x:t>
        </x:is>
      </x:c>
      <x:c r="K15" s="15" t="inlineStr">
        <x:is>
          <x:t xml:space="preserve">P2</x:t>
        </x:is>
      </x:c>
      <x:c r="L15" s="15" t="inlineStr">
        <x:is>
          <x:t xml:space="preserve">Not Started</x:t>
        </x:is>
      </x:c>
      <x:c r="M15" s="16" t="n">
        <x:v>3</x:v>
      </x:c>
      <x:c r="N15" s="13" t="n">
        <x:v>4</x:v>
      </x:c>
      <x:c r="O15" s="13" t="n">
        <x:v>6</x:v>
      </x:c>
      <x:c r="P15" s="13">
        <x:f>O15+ROUNDUP(N15/Inputs!$B$4,0)-1</x:f>
        <x:v>6</x:v>
      </x:c>
      <x:c r="Q15" s="17">
        <x:f>Inputs!$B$3+(O15-1)*Inputs!$B$4</x:f>
        <x:v>46111</x:v>
      </x:c>
      <x:c r="R15" s="17">
        <x:f>Q15+N15-1</x:f>
        <x:v>46114</x:v>
      </x:c>
      <x:c r="S15" s="9" t="inlineStr">
        <x:is>
          <x:t xml:space="preserve">PLY-06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DSN-08</x:t>
        </x:is>
      </x:c>
      <x:c r="B16" s="9" t="inlineStr">
        <x:is>
          <x:t xml:space="preserve">Design</x:t>
        </x:is>
      </x:c>
      <x:c r="C16" s="9" t="inlineStr">
        <x:is>
          <x:t xml:space="preserve">Observability</x:t>
        </x:is>
      </x:c>
      <x:c r="D16" s="13" t="n">
        <x:v>3</x:v>
      </x:c>
      <x:c r="E16" s="9" t="inlineStr">
        <x:is>
          <x:t xml:space="preserve">Metrics Model</x:t>
        </x:is>
      </x:c>
      <x:c r="F16" s="9" t="inlineStr">
        <x:is>
          <x:t xml:space="preserve">Design metrics/logging schema for observability</x:t>
        </x:is>
      </x:c>
      <x:c r="G16" s="14" t="inlineStr">
        <x:is>
          <x:t xml:space="preserve">Define run metrics, API metrics, freshness metrics, DQ results, error taxonomy, and dimensions.</x:t>
        </x:is>
      </x:c>
      <x:c r="H16" s="14" t="inlineStr">
        <x:is>
          <x:t xml:space="preserve">Observability data model spec</x:t>
        </x:is>
      </x:c>
      <x:c r="I16" s="9" t="inlineStr">
        <x:is>
          <x:t xml:space="preserve">SRE/Operations</x:t>
        </x:is>
      </x:c>
      <x:c r="J16" s="15" t="inlineStr">
        <x:is>
          <x:t xml:space="preserve">A</x:t>
        </x:is>
      </x:c>
      <x:c r="K16" s="15" t="inlineStr">
        <x:is>
          <x:t xml:space="preserve">P0</x:t>
        </x:is>
      </x:c>
      <x:c r="L16" s="15" t="inlineStr">
        <x:is>
          <x:t xml:space="preserve">Not Started</x:t>
        </x:is>
      </x:c>
      <x:c r="M16" s="16" t="n">
        <x:v>5</x:v>
      </x:c>
      <x:c r="N16" s="13" t="n">
        <x:v>6</x:v>
      </x:c>
      <x:c r="O16" s="13" t="n">
        <x:v>4</x:v>
      </x:c>
      <x:c r="P16" s="13">
        <x:f>O16+ROUNDUP(N16/Inputs!$B$4,0)-1</x:f>
        <x:v>4</x:v>
      </x:c>
      <x:c r="Q16" s="17">
        <x:f>Inputs!$B$3+(O16-1)*Inputs!$B$4</x:f>
        <x:v>46097</x:v>
      </x:c>
      <x:c r="R16" s="17">
        <x:f>Q16+N16-1</x:f>
        <x:v>46102</x:v>
      </x:c>
      <x:c r="S16" s="9" t="inlineStr">
        <x:is>
          <x:t xml:space="preserve">DSN-02,PLY-09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DSN-09</x:t>
        </x:is>
      </x:c>
      <x:c r="B17" s="9" t="inlineStr">
        <x:is>
          <x:t xml:space="preserve">Design</x:t>
        </x:is>
      </x:c>
      <x:c r="C17" s="9" t="inlineStr">
        <x:is>
          <x:t xml:space="preserve">Alerting</x:t>
        </x:is>
      </x:c>
      <x:c r="D17" s="13" t="n">
        <x:v>3</x:v>
      </x:c>
      <x:c r="E17" s="9" t="inlineStr">
        <x:is>
          <x:t xml:space="preserve">Alerts</x:t>
        </x:is>
      </x:c>
      <x:c r="F17" s="9" t="inlineStr">
        <x:is>
          <x:t xml:space="preserve">Design alert rules &amp; routing mappings</x:t>
        </x:is>
      </x:c>
      <x:c r="G17" s="14" t="inlineStr">
        <x:is>
          <x:t xml:space="preserve">Define alert conditions, thresholds, mapping to P0-P3, routing to platform vs domain owners, suppression logic.</x:t>
        </x:is>
      </x:c>
      <x:c r="H17" s="14" t="inlineStr">
        <x:is>
          <x:t xml:space="preserve">Alert rules design</x:t>
        </x:is>
      </x:c>
      <x:c r="I17" s="9" t="inlineStr">
        <x:is>
          <x:t xml:space="preserve">SRE/Operations</x:t>
        </x:is>
      </x:c>
      <x:c r="J17" s="15" t="inlineStr">
        <x:is>
          <x:t xml:space="preserve">A</x:t>
        </x:is>
      </x:c>
      <x:c r="K17" s="15" t="inlineStr">
        <x:is>
          <x:t xml:space="preserve">P0</x:t>
        </x:is>
      </x:c>
      <x:c r="L17" s="15" t="inlineStr">
        <x:is>
          <x:t xml:space="preserve">Not Started</x:t>
        </x:is>
      </x:c>
      <x:c r="M17" s="16" t="n">
        <x:v>4</x:v>
      </x:c>
      <x:c r="N17" s="13" t="n">
        <x:v>5</x:v>
      </x:c>
      <x:c r="O17" s="13" t="n">
        <x:v>5</x:v>
      </x:c>
      <x:c r="P17" s="13">
        <x:f>O17+ROUNDUP(N17/Inputs!$B$4,0)-1</x:f>
        <x:v>5</x:v>
      </x:c>
      <x:c r="Q17" s="17">
        <x:f>Inputs!$B$3+(O17-1)*Inputs!$B$4</x:f>
        <x:v>46104</x:v>
      </x:c>
      <x:c r="R17" s="17">
        <x:f>Q17+N17-1</x:f>
        <x:v>46108</x:v>
      </x:c>
      <x:c r="S17" s="9" t="inlineStr">
        <x:is>
          <x:t xml:space="preserve">DSN-08,PLY-02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DSN-10</x:t>
        </x:is>
      </x:c>
      <x:c r="B18" s="9" t="inlineStr">
        <x:is>
          <x:t xml:space="preserve">Design</x:t>
        </x:is>
      </x:c>
      <x:c r="C18" s="9" t="inlineStr">
        <x:is>
          <x:t xml:space="preserve">Data Quality</x:t>
        </x:is>
      </x:c>
      <x:c r="D18" s="13" t="n">
        <x:v>3</x:v>
      </x:c>
      <x:c r="E18" s="9" t="inlineStr">
        <x:is>
          <x:t xml:space="preserve">DQ Framework</x:t>
        </x:is>
      </x:c>
      <x:c r="F18" s="9" t="inlineStr">
        <x:is>
          <x:t xml:space="preserve">Design DQ framework at ingest boundary</x:t>
        </x:is>
      </x:c>
      <x:c r="G18" s="14" t="inlineStr">
        <x:is>
          <x:t xml:space="preserve">Define rule types, severity levels (warn/quarantine/fail), configuration storage, and reporting.</x:t>
        </x:is>
      </x:c>
      <x:c r="H18" s="14" t="inlineStr">
        <x:is>
          <x:t xml:space="preserve">DQ design spec</x:t>
        </x:is>
      </x:c>
      <x:c r="I18" s="9" t="inlineStr">
        <x:is>
          <x:t xml:space="preserve">Data Engineer</x:t>
        </x:is>
      </x:c>
      <x:c r="J18" s="15" t="inlineStr">
        <x:is>
          <x:t xml:space="preserve">R</x:t>
        </x:is>
      </x:c>
      <x:c r="K18" s="15" t="inlineStr">
        <x:is>
          <x:t xml:space="preserve">P1</x:t>
        </x:is>
      </x:c>
      <x:c r="L18" s="15" t="inlineStr">
        <x:is>
          <x:t xml:space="preserve">Not Started</x:t>
        </x:is>
      </x:c>
      <x:c r="M18" s="16" t="n">
        <x:v>4</x:v>
      </x:c>
      <x:c r="N18" s="13" t="n">
        <x:v>5</x:v>
      </x:c>
      <x:c r="O18" s="13" t="n">
        <x:v>5</x:v>
      </x:c>
      <x:c r="P18" s="13">
        <x:f>O18+ROUNDUP(N18/Inputs!$B$4,0)-1</x:f>
        <x:v>5</x:v>
      </x:c>
      <x:c r="Q18" s="17">
        <x:f>Inputs!$B$3+(O18-1)*Inputs!$B$4</x:f>
        <x:v>46104</x:v>
      </x:c>
      <x:c r="R18" s="17">
        <x:f>Q18+N18-1</x:f>
        <x:v>46108</x:v>
      </x:c>
      <x:c r="S18" s="9" t="inlineStr">
        <x:is>
          <x:t xml:space="preserve">DSN-02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  <x:row r="19" ht="42" customHeight="1">
      <x:c r="A19" s="9" t="inlineStr">
        <x:is>
          <x:t xml:space="preserve">DSN-11</x:t>
        </x:is>
      </x:c>
      <x:c r="B19" s="9" t="inlineStr">
        <x:is>
          <x:t xml:space="preserve">Design</x:t>
        </x:is>
      </x:c>
      <x:c r="C19" s="9" t="inlineStr">
        <x:is>
          <x:t xml:space="preserve">DLQ/Replay</x:t>
        </x:is>
      </x:c>
      <x:c r="D19" s="13" t="n">
        <x:v>3</x:v>
      </x:c>
      <x:c r="E19" s="9" t="inlineStr">
        <x:is>
          <x:t xml:space="preserve">Error Handling</x:t>
        </x:is>
      </x:c>
      <x:c r="F19" s="9" t="inlineStr">
        <x:is>
          <x:t xml:space="preserve">Design DLQ and replay mechanisms</x:t>
        </x:is>
      </x:c>
      <x:c r="G19" s="14" t="inlineStr">
        <x:is>
          <x:t xml:space="preserve">Define DLQ table schema, replay job patterns, replay by run_id/window, and audit logging.</x:t>
        </x:is>
      </x:c>
      <x:c r="H19" s="14" t="inlineStr">
        <x:is>
          <x:t xml:space="preserve">DLQ/Replay design spec</x:t>
        </x:is>
      </x:c>
      <x:c r="I19" s="9" t="inlineStr">
        <x:is>
          <x:t xml:space="preserve">Data Engineer</x:t>
        </x:is>
      </x:c>
      <x:c r="J19" s="15" t="inlineStr">
        <x:is>
          <x:t xml:space="preserve">R</x:t>
        </x:is>
      </x:c>
      <x:c r="K19" s="15" t="inlineStr">
        <x:is>
          <x:t xml:space="preserve">P1</x:t>
        </x:is>
      </x:c>
      <x:c r="L19" s="15" t="inlineStr">
        <x:is>
          <x:t xml:space="preserve">Not Started</x:t>
        </x:is>
      </x:c>
      <x:c r="M19" s="16" t="n">
        <x:v>4</x:v>
      </x:c>
      <x:c r="N19" s="13" t="n">
        <x:v>5</x:v>
      </x:c>
      <x:c r="O19" s="13" t="n">
        <x:v>5</x:v>
      </x:c>
      <x:c r="P19" s="13">
        <x:f>O19+ROUNDUP(N19/Inputs!$B$4,0)-1</x:f>
        <x:v>5</x:v>
      </x:c>
      <x:c r="Q19" s="17">
        <x:f>Inputs!$B$3+(O19-1)*Inputs!$B$4</x:f>
        <x:v>46104</x:v>
      </x:c>
      <x:c r="R19" s="17">
        <x:f>Q19+N19-1</x:f>
        <x:v>46108</x:v>
      </x:c>
      <x:c r="S19" s="9" t="inlineStr">
        <x:is>
          <x:t xml:space="preserve">DSN-10</x:t>
        </x:is>
      </x:c>
      <x:c r="T19" s="15" t="inlineStr">
        <x:is>
          <x:t xml:space="preserve">N</x:t>
        </x:is>
      </x:c>
      <x:c r="U19" s="14" t="inlineStr">
        <x:is>
          <x:t xml:space="preserve"/>
        </x:is>
      </x:c>
    </x:row>
    <x:row r="20" ht="42" customHeight="1">
      <x:c r="A20" s="9" t="inlineStr">
        <x:is>
          <x:t xml:space="preserve">DSN-12</x:t>
        </x:is>
      </x:c>
      <x:c r="B20" s="9" t="inlineStr">
        <x:is>
          <x:t xml:space="preserve">Design</x:t>
        </x:is>
      </x:c>
      <x:c r="C20" s="9" t="inlineStr">
        <x:is>
          <x:t xml:space="preserve">Schema Evolution</x:t>
        </x:is>
      </x:c>
      <x:c r="D20" s="13" t="n">
        <x:v>3</x:v>
      </x:c>
      <x:c r="E20" s="9" t="inlineStr">
        <x:is>
          <x:t xml:space="preserve">Schema Drift</x:t>
        </x:is>
      </x:c>
      <x:c r="F20" s="9" t="inlineStr">
        <x:is>
          <x:t xml:space="preserve">Design schema drift detection and evolution policy</x:t>
        </x:is>
      </x:c>
      <x:c r="G20" s="14" t="inlineStr">
        <x:is>
          <x:t xml:space="preserve">Define detection approach, versioning, breaking change handling, quarantine workflows and alerts.</x:t>
        </x:is>
      </x:c>
      <x:c r="H20" s="14" t="inlineStr">
        <x:is>
          <x:t xml:space="preserve">Schema drift design spec</x:t>
        </x:is>
      </x:c>
      <x:c r="I20" s="9" t="inlineStr">
        <x:is>
          <x:t xml:space="preserve">Data Platform Architect</x:t>
        </x:is>
      </x:c>
      <x:c r="J20" s="15" t="inlineStr">
        <x:is>
          <x:t xml:space="preserve">A</x:t>
        </x:is>
      </x:c>
      <x:c r="K20" s="15" t="inlineStr">
        <x:is>
          <x:t xml:space="preserve">P1</x:t>
        </x:is>
      </x:c>
      <x:c r="L20" s="15" t="inlineStr">
        <x:is>
          <x:t xml:space="preserve">Not Started</x:t>
        </x:is>
      </x:c>
      <x:c r="M20" s="16" t="n">
        <x:v>4</x:v>
      </x:c>
      <x:c r="N20" s="13" t="n">
        <x:v>5</x:v>
      </x:c>
      <x:c r="O20" s="13" t="n">
        <x:v>6</x:v>
      </x:c>
      <x:c r="P20" s="13">
        <x:f>O20+ROUNDUP(N20/Inputs!$B$4,0)-1</x:f>
        <x:v>6</x:v>
      </x:c>
      <x:c r="Q20" s="17">
        <x:f>Inputs!$B$3+(O20-1)*Inputs!$B$4</x:f>
        <x:v>46111</x:v>
      </x:c>
      <x:c r="R20" s="17">
        <x:f>Q20+N20-1</x:f>
        <x:v>46115</x:v>
      </x:c>
      <x:c r="S20" s="9" t="inlineStr">
        <x:is>
          <x:t xml:space="preserve">DSN-05,PLY-14</x:t>
        </x:is>
      </x:c>
      <x:c r="T20" s="15" t="inlineStr">
        <x:is>
          <x:t xml:space="preserve">N</x:t>
        </x:is>
      </x:c>
      <x:c r="U20" s="14" t="inlineStr">
        <x:is>
          <x:t xml:space="preserve"/>
        </x:is>
      </x:c>
    </x:row>
    <x:row r="21" ht="42" customHeight="1">
      <x:c r="A21" s="9" t="inlineStr">
        <x:is>
          <x:t xml:space="preserve">DSN-13</x:t>
        </x:is>
      </x:c>
      <x:c r="B21" s="9" t="inlineStr">
        <x:is>
          <x:t xml:space="preserve">Design</x:t>
        </x:is>
      </x:c>
      <x:c r="C21" s="9" t="inlineStr">
        <x:is>
          <x:t xml:space="preserve">Lineage</x:t>
        </x:is>
      </x:c>
      <x:c r="D21" s="13" t="n">
        <x:v>3</x:v>
      </x:c>
      <x:c r="E21" s="9" t="inlineStr">
        <x:is>
          <x:t xml:space="preserve">Audit &amp; Lineage</x:t>
        </x:is>
      </x:c>
      <x:c r="F21" s="9" t="inlineStr">
        <x:is>
          <x:t xml:space="preserve">Design auditing and lineage approach</x:t>
        </x:is>
      </x:c>
      <x:c r="G21" s="14" t="inlineStr">
        <x:is>
          <x:t xml:space="preserve">Define audit events, evidence tables, UC lineage usage, optional OpenLineage emission pattern.</x:t>
        </x:is>
      </x:c>
      <x:c r="H21" s="14" t="inlineStr">
        <x:is>
          <x:t xml:space="preserve">Audit &amp; lineage design spec</x:t>
        </x:is>
      </x:c>
      <x:c r="I21" s="9" t="inlineStr">
        <x:is>
          <x:t xml:space="preserve">Data Platform Architect</x:t>
        </x:is>
      </x:c>
      <x:c r="J21" s="15" t="inlineStr">
        <x:is>
          <x:t xml:space="preserve">A</x:t>
        </x:is>
      </x:c>
      <x:c r="K21" s="15" t="inlineStr">
        <x:is>
          <x:t xml:space="preserve">P1</x:t>
        </x:is>
      </x:c>
      <x:c r="L21" s="15" t="inlineStr">
        <x:is>
          <x:t xml:space="preserve">Not Started</x:t>
        </x:is>
      </x:c>
      <x:c r="M21" s="16" t="n">
        <x:v>4</x:v>
      </x:c>
      <x:c r="N21" s="13" t="n">
        <x:v>5</x:v>
      </x:c>
      <x:c r="O21" s="13" t="n">
        <x:v>6</x:v>
      </x:c>
      <x:c r="P21" s="13">
        <x:f>O21+ROUNDUP(N21/Inputs!$B$4,0)-1</x:f>
        <x:v>6</x:v>
      </x:c>
      <x:c r="Q21" s="17">
        <x:f>Inputs!$B$3+(O21-1)*Inputs!$B$4</x:f>
        <x:v>46111</x:v>
      </x:c>
      <x:c r="R21" s="17">
        <x:f>Q21+N21-1</x:f>
        <x:v>46115</x:v>
      </x:c>
      <x:c r="S21" s="9" t="inlineStr">
        <x:is>
          <x:t xml:space="preserve">PLY-16</x:t>
        </x:is>
      </x:c>
      <x:c r="T21" s="15" t="inlineStr">
        <x:is>
          <x:t xml:space="preserve">N</x:t>
        </x:is>
      </x:c>
      <x:c r="U21" s="14" t="inlineStr">
        <x:is>
          <x:t xml:space="preserve"/>
        </x:is>
      </x:c>
    </x:row>
    <x:row r="22" ht="42" customHeight="1">
      <x:c r="A22" s="9" t="inlineStr">
        <x:is>
          <x:t xml:space="preserve">DSN-19</x:t>
        </x:is>
      </x:c>
      <x:c r="B22" s="9" t="inlineStr">
        <x:is>
          <x:t xml:space="preserve">Design</x:t>
        </x:is>
      </x:c>
      <x:c r="C22" s="9" t="inlineStr">
        <x:is>
          <x:t xml:space="preserve">Onboarding Factory</x:t>
        </x:is>
      </x:c>
      <x:c r="D22" s="13" t="n">
        <x:v>4</x:v>
      </x:c>
      <x:c r="E22" s="9" t="inlineStr">
        <x:is>
          <x:t xml:space="preserve">Templates</x:t>
        </x:is>
      </x:c>
      <x:c r="F22" s="9" t="inlineStr">
        <x:is>
          <x:t xml:space="preserve">Design onboarding templates and automation</x:t>
        </x:is>
      </x:c>
      <x:c r="G22" s="14" t="inlineStr">
        <x:is>
          <x:t xml:space="preserve">Define config templates, vendor profiles, bulk onboarding approach and validation rules.</x:t>
        </x:is>
      </x:c>
      <x:c r="H22" s="14" t="inlineStr">
        <x:is>
          <x:t xml:space="preserve">Onboarding templates design</x:t>
        </x:is>
      </x:c>
      <x:c r="I22" s="9" t="inlineStr">
        <x:is>
          <x:t xml:space="preserve">Data Engineer</x:t>
        </x:is>
      </x:c>
      <x:c r="J22" s="15" t="inlineStr">
        <x:is>
          <x:t xml:space="preserve">R</x:t>
        </x:is>
      </x:c>
      <x:c r="K22" s="15" t="inlineStr">
        <x:is>
          <x:t xml:space="preserve">P1</x:t>
        </x:is>
      </x:c>
      <x:c r="L22" s="15" t="inlineStr">
        <x:is>
          <x:t xml:space="preserve">Not Started</x:t>
        </x:is>
      </x:c>
      <x:c r="M22" s="16" t="n">
        <x:v>4</x:v>
      </x:c>
      <x:c r="N22" s="13" t="n">
        <x:v>5</x:v>
      </x:c>
      <x:c r="O22" s="13" t="n">
        <x:v>7</x:v>
      </x:c>
      <x:c r="P22" s="13">
        <x:f>O22+ROUNDUP(N22/Inputs!$B$4,0)-1</x:f>
        <x:v>7</x:v>
      </x:c>
      <x:c r="Q22" s="17">
        <x:f>Inputs!$B$3+(O22-1)*Inputs!$B$4</x:f>
        <x:v>46118</x:v>
      </x:c>
      <x:c r="R22" s="17">
        <x:f>Q22+N22-1</x:f>
        <x:v>46122</x:v>
      </x:c>
      <x:c r="S22" s="9" t="inlineStr">
        <x:is>
          <x:t xml:space="preserve">PRC-06,PRC-13</x:t>
        </x:is>
      </x:c>
      <x:c r="T22" s="15" t="inlineStr">
        <x:is>
          <x:t xml:space="preserve">N</x:t>
        </x:is>
      </x:c>
      <x:c r="U22" s="14" t="inlineStr">
        <x:is>
          <x:t xml:space="preserve"/>
        </x:is>
      </x:c>
    </x:row>
    <x:row r="23" ht="42" customHeight="1">
      <x:c r="A23" s="9" t="inlineStr">
        <x:is>
          <x:t xml:space="preserve">DSN-20</x:t>
        </x:is>
      </x:c>
      <x:c r="B23" s="9" t="inlineStr">
        <x:is>
          <x:t xml:space="preserve">Design</x:t>
        </x:is>
      </x:c>
      <x:c r="C23" s="9" t="inlineStr">
        <x:is>
          <x:t xml:space="preserve">Cost/FinOps</x:t>
        </x:is>
      </x:c>
      <x:c r="D23" s="13" t="n">
        <x:v>5</x:v>
      </x:c>
      <x:c r="E23" s="9" t="inlineStr">
        <x:is>
          <x:t xml:space="preserve">Cost Attribution</x:t>
        </x:is>
      </x:c>
      <x:c r="F23" s="9" t="inlineStr">
        <x:is>
          <x:t xml:space="preserve">Design cost attribution per source</x:t>
        </x:is>
      </x:c>
      <x:c r="G23" s="14" t="inlineStr">
        <x:is>
          <x:t xml:space="preserve">Define how to attribute compute/storage to sources (tags, job run metadata) and dashboard.</x:t>
        </x:is>
      </x:c>
      <x:c r="H23" s="14" t="inlineStr">
        <x:is>
          <x:t xml:space="preserve">Cost attribution design</x:t>
        </x:is>
      </x:c>
      <x:c r="I23" s="9" t="inlineStr">
        <x:is>
          <x:t xml:space="preserve">DevOps/Platform Eng</x:t>
        </x:is>
      </x:c>
      <x:c r="J23" s="15" t="inlineStr">
        <x:is>
          <x:t xml:space="preserve">A</x:t>
        </x:is>
      </x:c>
      <x:c r="K23" s="15" t="inlineStr">
        <x:is>
          <x:t xml:space="preserve">P2</x:t>
        </x:is>
      </x:c>
      <x:c r="L23" s="15" t="inlineStr">
        <x:is>
          <x:t xml:space="preserve">Not Started</x:t>
        </x:is>
      </x:c>
      <x:c r="M23" s="16" t="n">
        <x:v>3</x:v>
      </x:c>
      <x:c r="N23" s="13" t="n">
        <x:v>4</x:v>
      </x:c>
      <x:c r="O23" s="13" t="n">
        <x:v>10</x:v>
      </x:c>
      <x:c r="P23" s="13">
        <x:f>O23+ROUNDUP(N23/Inputs!$B$4,0)-1</x:f>
        <x:v>10</x:v>
      </x:c>
      <x:c r="Q23" s="17">
        <x:f>Inputs!$B$3+(O23-1)*Inputs!$B$4</x:f>
        <x:v>46139</x:v>
      </x:c>
      <x:c r="R23" s="17">
        <x:f>Q23+N23-1</x:f>
        <x:v>46142</x:v>
      </x:c>
      <x:c r="S23" s="9" t="inlineStr">
        <x:is>
          <x:t xml:space="preserve">DSN-08</x:t>
        </x:is>
      </x:c>
      <x:c r="T23" s="15" t="inlineStr">
        <x:is>
          <x:t xml:space="preserve">N</x:t>
        </x:is>
      </x:c>
      <x:c r="U23" s="14" t="inlineStr">
        <x:is>
          <x:t xml:space="preserve"/>
        </x:is>
      </x:c>
    </x:row>
  </x:sheetData>
  <x:mergeCells>
    <x:mergeCell ref="A1:U1"/>
    <x:mergeCell ref="A2:U2"/>
  </x:mergeCells>
  <x:conditionalFormatting sqref="K4:K23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23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23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customWidth="1"/>
    <x:col min="2" max="2" width="13" customWidth="1"/>
    <x:col min="3" max="3" width="16" customWidth="1"/>
    <x:col min="4" max="4" width="6" customWidth="1"/>
    <x:col min="5" max="5" width="18" customWidth="1"/>
    <x:col min="6" max="6" width="32" customWidth="1"/>
    <x:col min="7" max="7" width="50" customWidth="1"/>
    <x:col min="8" max="8" width="28" customWidth="1"/>
    <x:col min="9" max="9" width="22" customWidth="1"/>
    <x:col min="10" max="10" width="6" customWidth="1"/>
    <x:col min="11" max="11" width="8" customWidth="1"/>
    <x:col min="12" max="12" width="12" customWidth="1"/>
    <x:col min="13" max="13" width="16" customWidth="1"/>
    <x:col min="14" max="14" width="14" customWidth="1"/>
    <x:col min="15" max="15" width="10" customWidth="1"/>
    <x:col min="16" max="16" width="10" customWidth="1"/>
    <x:col min="17" max="17" width="12" customWidth="1"/>
    <x:col min="18" max="18" width="12" customWidth="1"/>
    <x:col min="19" max="19" width="20" customWidth="1"/>
    <x:col min="20" max="20" width="12" customWidth="1"/>
    <x:col min="21" max="21" width="28" customWidth="1"/>
  </x:cols>
  <x:sheetData>
    <x:row r="1">
      <x:c r="A1" s="5" t="inlineStr">
        <x:is>
          <x:t xml:space="preserve">Implementation – Work Breakdown Structure (WBS)</x:t>
        </x:is>
      </x:c>
    </x:row>
    <x:row r="2">
      <x:c r="A2" s="11" t="inlineStr">
        <x:is>
          <x:t xml:space="preserve">Update Status and Notes/Evidence Link during execution. Dates auto-calc from Inputs.</x:t>
        </x:is>
      </x:c>
    </x:row>
    <x:row r="3" ht="28" customHeight="1">
      <x:c r="A3" s="12" t="inlineStr">
        <x:is>
          <x:t xml:space="preserve">Task ID</x:t>
        </x:is>
      </x:c>
      <x:c r="B3" s="12" t="inlineStr">
        <x:is>
          <x:t xml:space="preserve">Category</x:t>
        </x:is>
      </x:c>
      <x:c r="C3" s="12" t="inlineStr">
        <x:is>
          <x:t xml:space="preserve">Workstream</x:t>
        </x:is>
      </x:c>
      <x:c r="D3" s="12" t="inlineStr">
        <x:is>
          <x:t xml:space="preserve">Phase</x:t>
        </x:is>
      </x:c>
      <x:c r="E3" s="12" t="inlineStr">
        <x:is>
          <x:t xml:space="preserve">Module</x:t>
        </x:is>
      </x:c>
      <x:c r="F3" s="12" t="inlineStr">
        <x:is>
          <x:t xml:space="preserve">Task Name</x:t>
        </x:is>
      </x:c>
      <x:c r="G3" s="12" t="inlineStr">
        <x:is>
          <x:t xml:space="preserve">Task Description</x:t>
        </x:is>
      </x:c>
      <x:c r="H3" s="12" t="inlineStr">
        <x:is>
          <x:t xml:space="preserve">Deliverable/Artifact</x:t>
        </x:is>
      </x:c>
      <x:c r="I3" s="12" t="inlineStr">
        <x:is>
          <x:t xml:space="preserve">Owner Role</x:t>
        </x:is>
      </x:c>
      <x:c r="J3" s="12" t="inlineStr">
        <x:is>
          <x:t xml:space="preserve">RACI</x:t>
        </x:is>
      </x:c>
      <x:c r="K3" s="12" t="inlineStr">
        <x:is>
          <x:t xml:space="preserve">Priority</x:t>
        </x:is>
      </x:c>
      <x:c r="L3" s="12" t="inlineStr">
        <x:is>
          <x:t xml:space="preserve">Status</x:t>
        </x:is>
      </x:c>
      <x:c r="M3" s="12" t="inlineStr">
        <x:is>
          <x:t xml:space="preserve">Est Effort (Person-days)</x:t>
        </x:is>
      </x:c>
      <x:c r="N3" s="12" t="inlineStr">
        <x:is>
          <x:t xml:space="preserve">Duration (days)</x:t>
        </x:is>
      </x:c>
      <x:c r="O3" s="12" t="inlineStr">
        <x:is>
          <x:t xml:space="preserve">Start Week</x:t>
        </x:is>
      </x:c>
      <x:c r="P3" s="12" t="inlineStr">
        <x:is>
          <x:t xml:space="preserve">End Week</x:t>
        </x:is>
      </x:c>
      <x:c r="Q3" s="12" t="inlineStr">
        <x:is>
          <x:t xml:space="preserve">Start Date</x:t>
        </x:is>
      </x:c>
      <x:c r="R3" s="12" t="inlineStr">
        <x:is>
          <x:t xml:space="preserve">End Date</x:t>
        </x:is>
      </x:c>
      <x:c r="S3" s="12" t="inlineStr">
        <x:is>
          <x:t xml:space="preserve">Dependencies</x:t>
        </x:is>
      </x:c>
      <x:c r="T3" s="12" t="inlineStr">
        <x:is>
          <x:t xml:space="preserve">Milestone (Y/N)</x:t>
        </x:is>
      </x:c>
      <x:c r="U3" s="12" t="inlineStr">
        <x:is>
          <x:t xml:space="preserve">Notes/Evidence Link</x:t>
        </x:is>
      </x:c>
    </x:row>
    <x:row r="4" ht="42" customHeight="1">
      <x:c r="A4" s="9" t="inlineStr">
        <x:is>
          <x:t xml:space="preserve">IMP-01</x:t>
        </x:is>
      </x:c>
      <x:c r="B4" s="9" t="inlineStr">
        <x:is>
          <x:t xml:space="preserve">Implementation</x:t>
        </x:is>
      </x:c>
      <x:c r="C4" s="9" t="inlineStr">
        <x:is>
          <x:t xml:space="preserve">Planning</x:t>
        </x:is>
      </x:c>
      <x:c r="D4" s="13" t="n">
        <x:v>0</x:v>
      </x:c>
      <x:c r="E4" s="9" t="inlineStr">
        <x:is>
          <x:t xml:space="preserve">Discovery</x:t>
        </x:is>
      </x:c>
      <x:c r="F4" s="9" t="inlineStr">
        <x:is>
          <x:t xml:space="preserve">Inventory current API ingestions &amp; patterns</x:t>
        </x:is>
      </x:c>
      <x:c r="G4" s="14" t="inlineStr">
        <x:is>
          <x:t xml:space="preserve">Catalogue existing sources/endpoints/auth/pagination; group into patterns; identify pilot candidates.</x:t>
        </x:is>
      </x:c>
      <x:c r="H4" s="14" t="inlineStr">
        <x:is>
          <x:t xml:space="preserve">API inventory + pattern matrix</x:t>
        </x:is>
      </x:c>
      <x:c r="I4" s="9" t="inlineStr">
        <x:is>
          <x:t xml:space="preserve">Data Engineer</x:t>
        </x:is>
      </x:c>
      <x:c r="J4" s="15" t="inlineStr">
        <x:is>
          <x:t xml:space="preserve">R</x:t>
        </x:is>
      </x:c>
      <x:c r="K4" s="15" t="inlineStr">
        <x:is>
          <x:t xml:space="preserve">P1</x:t>
        </x:is>
      </x:c>
      <x:c r="L4" s="15" t="inlineStr">
        <x:is>
          <x:t xml:space="preserve">Not Started</x:t>
        </x:is>
      </x:c>
      <x:c r="M4" s="16" t="n">
        <x:v>6</x:v>
      </x:c>
      <x:c r="N4" s="13" t="n">
        <x:v>8</x:v>
      </x:c>
      <x:c r="O4" s="13" t="n">
        <x:v>1</x:v>
      </x:c>
      <x:c r="P4" s="13">
        <x:f>O4+ROUNDUP(N4/Inputs!$B$4,0)-1</x:f>
        <x:v>2</x:v>
      </x:c>
      <x:c r="Q4" s="17">
        <x:f>Inputs!$B$3+(O4-1)*Inputs!$B$4</x:f>
        <x:v>46076</x:v>
      </x:c>
      <x:c r="R4" s="17">
        <x:f>Q4+N4-1</x:f>
        <x:v>46083</x:v>
      </x:c>
      <x:c r="S4" s="9" t="inlineStr">
        <x:is>
          <x:t xml:space="preserve">PLY-01</x:t>
        </x:is>
      </x:c>
      <x:c r="T4" s="15" t="inlineStr">
        <x:is>
          <x:t xml:space="preserve">N</x:t>
        </x:is>
      </x:c>
      <x:c r="U4" s="14" t="inlineStr">
        <x:is>
          <x:t xml:space="preserve">Include rate limits, volumes, SLAs where known.</x:t>
        </x:is>
      </x:c>
    </x:row>
    <x:row r="5" ht="42" customHeight="1">
      <x:c r="A5" s="9" t="inlineStr">
        <x:is>
          <x:t xml:space="preserve">IMP-02</x:t>
        </x:is>
      </x:c>
      <x:c r="B5" s="9" t="inlineStr">
        <x:is>
          <x:t xml:space="preserve">Implementation</x:t>
        </x:is>
      </x:c>
      <x:c r="C5" s="9" t="inlineStr">
        <x:is>
          <x:t xml:space="preserve">Planning</x:t>
        </x:is>
      </x:c>
      <x:c r="D5" s="13" t="n">
        <x:v>0</x:v>
      </x:c>
      <x:c r="E5" s="9" t="inlineStr">
        <x:is>
          <x:t xml:space="preserve">Discovery</x:t>
        </x:is>
      </x:c>
      <x:c r="F5" s="9" t="inlineStr">
        <x:is>
          <x:t xml:space="preserve">Define Tier-0/1/2 source list</x:t>
        </x:is>
      </x:c>
      <x:c r="G5" s="14" t="inlineStr">
        <x:is>
          <x:t xml:space="preserve">Create initial tiering with business owners and SLO expectations.</x:t>
        </x:is>
      </x:c>
      <x:c r="H5" s="14" t="inlineStr">
        <x:is>
          <x:t xml:space="preserve">Tiered source list</x:t>
        </x:is>
      </x:c>
      <x:c r="I5" s="9" t="inlineStr">
        <x:is>
          <x:t xml:space="preserve">Product Owner</x:t>
        </x:is>
      </x:c>
      <x:c r="J5" s="15" t="inlineStr">
        <x:is>
          <x:t xml:space="preserve">A</x:t>
        </x:is>
      </x:c>
      <x:c r="K5" s="15" t="inlineStr">
        <x:is>
          <x:t xml:space="preserve">P1</x:t>
        </x:is>
      </x:c>
      <x:c r="L5" s="15" t="inlineStr">
        <x:is>
          <x:t xml:space="preserve">Not Started</x:t>
        </x:is>
      </x:c>
      <x:c r="M5" s="16" t="n">
        <x:v>3</x:v>
      </x:c>
      <x:c r="N5" s="13" t="n">
        <x:v>4</x:v>
      </x:c>
      <x:c r="O5" s="13" t="n">
        <x:v>2</x:v>
      </x:c>
      <x:c r="P5" s="13">
        <x:f>O5+ROUNDUP(N5/Inputs!$B$4,0)-1</x:f>
        <x:v>2</x:v>
      </x:c>
      <x:c r="Q5" s="17">
        <x:f>Inputs!$B$3+(O5-1)*Inputs!$B$4</x:f>
        <x:v>46083</x:v>
      </x:c>
      <x:c r="R5" s="17">
        <x:f>Q5+N5-1</x:f>
        <x:v>46086</x:v>
      </x:c>
      <x:c r="S5" s="9" t="inlineStr">
        <x:is>
          <x:t xml:space="preserve">PRC-15</x:t>
        </x:is>
      </x:c>
      <x:c r="T5" s="15" t="inlineStr">
        <x:is>
          <x:t xml:space="preserve">N</x:t>
        </x:is>
      </x:c>
      <x:c r="U5" s="14" t="inlineStr">
        <x:is>
          <x:t xml:space="preserve"/>
        </x:is>
      </x:c>
    </x:row>
    <x:row r="6" ht="42" customHeight="1">
      <x:c r="A6" s="9" t="inlineStr">
        <x:is>
          <x:t xml:space="preserve">IMP-03</x:t>
        </x:is>
      </x:c>
      <x:c r="B6" s="9" t="inlineStr">
        <x:is>
          <x:t xml:space="preserve">Implementation</x:t>
        </x:is>
      </x:c>
      <x:c r="C6" s="9" t="inlineStr">
        <x:is>
          <x:t xml:space="preserve">Control Plane</x:t>
        </x:is>
      </x:c>
      <x:c r="D6" s="13" t="n">
        <x:v>1</x:v>
      </x:c>
      <x:c r="E6" s="9" t="inlineStr">
        <x:is>
          <x:t xml:space="preserve">Metadata Registry</x:t>
        </x:is>
      </x:c>
      <x:c r="F6" s="9" t="inlineStr">
        <x:is>
          <x:t xml:space="preserve">Implement registry Delta tables (sources/endpoints/state/runs/errors)</x:t>
        </x:is>
      </x:c>
      <x:c r="G6" s="14" t="inlineStr">
        <x:is>
          <x:t xml:space="preserve">Create schemas in UC, apply permissions, implement migrations/versioning approach.</x:t>
        </x:is>
      </x:c>
      <x:c r="H6" s="14" t="inlineStr">
        <x:is>
          <x:t xml:space="preserve">Control plane tables in UC</x:t>
        </x:is>
      </x:c>
      <x:c r="I6" s="9" t="inlineStr">
        <x:is>
          <x:t xml:space="preserve">Data Engineer</x:t>
        </x:is>
      </x:c>
      <x:c r="J6" s="15" t="inlineStr">
        <x:is>
          <x:t xml:space="preserve">R</x:t>
        </x:is>
      </x:c>
      <x:c r="K6" s="15" t="inlineStr">
        <x:is>
          <x:t xml:space="preserve">P0</x:t>
        </x:is>
      </x:c>
      <x:c r="L6" s="15" t="inlineStr">
        <x:is>
          <x:t xml:space="preserve">Not Started</x:t>
        </x:is>
      </x:c>
      <x:c r="M6" s="16" t="n">
        <x:v>8</x:v>
      </x:c>
      <x:c r="N6" s="13" t="n">
        <x:v>10</x:v>
      </x:c>
      <x:c r="O6" s="13" t="n">
        <x:v>3</x:v>
      </x:c>
      <x:c r="P6" s="13">
        <x:f>O6+ROUNDUP(N6/Inputs!$B$4,0)-1</x:f>
        <x:v>4</x:v>
      </x:c>
      <x:c r="Q6" s="17">
        <x:f>Inputs!$B$3+(O6-1)*Inputs!$B$4</x:f>
        <x:v>46090</x:v>
      </x:c>
      <x:c r="R6" s="17">
        <x:f>Q6+N6-1</x:f>
        <x:v>46099</x:v>
      </x:c>
      <x:c r="S6" s="9" t="inlineStr">
        <x:is>
          <x:t xml:space="preserve">DSN-02,PLY-11</x:t>
        </x:is>
      </x:c>
      <x:c r="T6" s="15" t="inlineStr">
        <x:is>
          <x:t xml:space="preserve">N</x:t>
        </x:is>
      </x:c>
      <x:c r="U6" s="14" t="inlineStr">
        <x:is>
          <x:t xml:space="preserve"/>
        </x:is>
      </x:c>
    </x:row>
    <x:row r="7" ht="42" customHeight="1">
      <x:c r="A7" s="9" t="inlineStr">
        <x:is>
          <x:t xml:space="preserve">IMP-05</x:t>
        </x:is>
      </x:c>
      <x:c r="B7" s="9" t="inlineStr">
        <x:is>
          <x:t xml:space="preserve">Implementation</x:t>
        </x:is>
      </x:c>
      <x:c r="C7" s="9" t="inlineStr">
        <x:is>
          <x:t xml:space="preserve">Connector SDK</x:t>
        </x:is>
      </x:c>
      <x:c r="D7" s="13" t="n">
        <x:v>1</x:v>
      </x:c>
      <x:c r="E7" s="9" t="inlineStr">
        <x:is>
          <x:t xml:space="preserve">Connector Interface</x:t>
        </x:is>
      </x:c>
      <x:c r="F7" s="9" t="inlineStr">
        <x:is>
          <x:t xml:space="preserve">Build connector SDK base package</x:t>
        </x:is>
      </x:c>
      <x:c r="G7" s="14" t="inlineStr">
        <x:is>
          <x:t xml:space="preserve">Implement interfaces, standard exceptions, logging hooks, metrics hooks and packaging.</x:t>
        </x:is>
      </x:c>
      <x:c r="H7" s="14" t="inlineStr">
        <x:is>
          <x:t xml:space="preserve">Connector SDK v1</x:t>
        </x:is>
      </x:c>
      <x:c r="I7" s="9" t="inlineStr">
        <x:is>
          <x:t xml:space="preserve">Data Engineer</x:t>
        </x:is>
      </x:c>
      <x:c r="J7" s="15" t="inlineStr">
        <x:is>
          <x:t xml:space="preserve">R</x:t>
        </x:is>
      </x:c>
      <x:c r="K7" s="15" t="inlineStr">
        <x:is>
          <x:t xml:space="preserve">P0</x:t>
        </x:is>
      </x:c>
      <x:c r="L7" s="15" t="inlineStr">
        <x:is>
          <x:t xml:space="preserve">Not Started</x:t>
        </x:is>
      </x:c>
      <x:c r="M7" s="16" t="n">
        <x:v>10</x:v>
      </x:c>
      <x:c r="N7" s="13" t="n">
        <x:v>12</x:v>
      </x:c>
      <x:c r="O7" s="13" t="n">
        <x:v>3</x:v>
      </x:c>
      <x:c r="P7" s="13">
        <x:f>O7+ROUNDUP(N7/Inputs!$B$4,0)-1</x:f>
        <x:v>4</x:v>
      </x:c>
      <x:c r="Q7" s="17">
        <x:f>Inputs!$B$3+(O7-1)*Inputs!$B$4</x:f>
        <x:v>46090</x:v>
      </x:c>
      <x:c r="R7" s="17">
        <x:f>Q7+N7-1</x:f>
        <x:v>46101</x:v>
      </x:c>
      <x:c r="S7" s="9" t="inlineStr">
        <x:is>
          <x:t xml:space="preserve">DSN-03,DSN-18</x:t>
        </x:is>
      </x:c>
      <x:c r="T7" s="15" t="inlineStr">
        <x:is>
          <x:t xml:space="preserve">N</x:t>
        </x:is>
      </x:c>
      <x:c r="U7" s="14" t="inlineStr">
        <x:is>
          <x:t xml:space="preserve"/>
        </x:is>
      </x:c>
    </x:row>
    <x:row r="8" ht="42" customHeight="1">
      <x:c r="A8" s="18" t="inlineStr">
        <x:is>
          <x:t xml:space="preserve">IMP-55</x:t>
        </x:is>
      </x:c>
      <x:c r="B8" s="18" t="inlineStr">
        <x:is>
          <x:t xml:space="preserve">Implementation</x:t>
        </x:is>
      </x:c>
      <x:c r="C8" s="18" t="inlineStr">
        <x:is>
          <x:t xml:space="preserve">Architecture</x:t>
        </x:is>
      </x:c>
      <x:c r="D8" s="19" t="n">
        <x:v>1</x:v>
      </x:c>
      <x:c r="E8" s="18" t="inlineStr">
        <x:is>
          <x:t xml:space="preserve">Reviews</x:t>
        </x:is>
      </x:c>
      <x:c r="F8" s="18" t="inlineStr">
        <x:is>
          <x:t xml:space="preserve">Architecture review &amp; signoff</x:t>
        </x:is>
      </x:c>
      <x:c r="G8" s="20" t="inlineStr">
        <x:is>
          <x:t xml:space="preserve">Review architecture and ADRs with stakeholders; capture decisions and action items.</x:t>
        </x:is>
      </x:c>
      <x:c r="H8" s="20" t="inlineStr">
        <x:is>
          <x:t xml:space="preserve">Architecture signoff</x:t>
        </x:is>
      </x:c>
      <x:c r="I8" s="18" t="inlineStr">
        <x:is>
          <x:t xml:space="preserve">Data Platform Architect</x:t>
        </x:is>
      </x:c>
      <x:c r="J8" s="21" t="inlineStr">
        <x:is>
          <x:t xml:space="preserve">A</x:t>
        </x:is>
      </x:c>
      <x:c r="K8" s="21" t="inlineStr">
        <x:is>
          <x:t xml:space="preserve">P1</x:t>
        </x:is>
      </x:c>
      <x:c r="L8" s="21" t="inlineStr">
        <x:is>
          <x:t xml:space="preserve">Not Started</x:t>
        </x:is>
      </x:c>
      <x:c r="M8" s="22" t="n">
        <x:v>2</x:v>
      </x:c>
      <x:c r="N8" s="19" t="n">
        <x:v>2</x:v>
      </x:c>
      <x:c r="O8" s="19" t="n">
        <x:v>3</x:v>
      </x:c>
      <x:c r="P8" s="19">
        <x:f>O8+ROUNDUP(N8/Inputs!$B$4,0)-1</x:f>
        <x:v>3</x:v>
      </x:c>
      <x:c r="Q8" s="23">
        <x:f>Inputs!$B$3+(O8-1)*Inputs!$B$4</x:f>
        <x:v>46090</x:v>
      </x:c>
      <x:c r="R8" s="23">
        <x:f>Q8+N8-1</x:f>
        <x:v>46091</x:v>
      </x:c>
      <x:c r="S8" s="18" t="inlineStr">
        <x:is>
          <x:t xml:space="preserve">DSN-01</x:t>
        </x:is>
      </x:c>
      <x:c r="T8" s="21" t="inlineStr">
        <x:is>
          <x:t xml:space="preserve">Y</x:t>
        </x:is>
      </x:c>
      <x:c r="U8" s="20" t="inlineStr">
        <x:is>
          <x:t xml:space="preserve"/>
        </x:is>
      </x:c>
    </x:row>
    <x:row r="9" ht="42" customHeight="1">
      <x:c r="A9" s="9" t="inlineStr">
        <x:is>
          <x:t xml:space="preserve">IMP-04</x:t>
        </x:is>
      </x:c>
      <x:c r="B9" s="9" t="inlineStr">
        <x:is>
          <x:t xml:space="preserve">Implementation</x:t>
        </x:is>
      </x:c>
      <x:c r="C9" s="9" t="inlineStr">
        <x:is>
          <x:t xml:space="preserve">Control Plane</x:t>
        </x:is>
      </x:c>
      <x:c r="D9" s="13" t="n">
        <x:v>1</x:v>
      </x:c>
      <x:c r="E9" s="9" t="inlineStr">
        <x:is>
          <x:t xml:space="preserve">Metadata Registry</x:t>
        </x:is>
      </x:c>
      <x:c r="F9" s="9" t="inlineStr">
        <x:is>
          <x:t xml:space="preserve">Implement config validation and publish pipeline</x:t>
        </x:is>
      </x:c>
      <x:c r="G9" s="14" t="inlineStr">
        <x:is>
          <x:t xml:space="preserve">Build CI job to validate configs and publish to registry tables in each environment.</x:t>
        </x:is>
      </x:c>
      <x:c r="H9" s="14" t="inlineStr">
        <x:is>
          <x:t xml:space="preserve">Config publish pipeline</x:t>
        </x:is>
      </x:c>
      <x:c r="I9" s="9" t="inlineStr">
        <x:is>
          <x:t xml:space="preserve">DevOps/Platform Eng</x:t>
        </x:is>
      </x:c>
      <x:c r="J9" s="15" t="inlineStr">
        <x:is>
          <x:t xml:space="preserve">R</x:t>
        </x:is>
      </x:c>
      <x:c r="K9" s="15" t="inlineStr">
        <x:is>
          <x:t xml:space="preserve">P1</x:t>
        </x:is>
      </x:c>
      <x:c r="L9" s="15" t="inlineStr">
        <x:is>
          <x:t xml:space="preserve">Not Started</x:t>
        </x:is>
      </x:c>
      <x:c r="M9" s="16" t="n">
        <x:v>6</x:v>
      </x:c>
      <x:c r="N9" s="13" t="n">
        <x:v>8</x:v>
      </x:c>
      <x:c r="O9" s="13" t="n">
        <x:v>4</x:v>
      </x:c>
      <x:c r="P9" s="13">
        <x:f>O9+ROUNDUP(N9/Inputs!$B$4,0)-1</x:f>
        <x:v>5</x:v>
      </x:c>
      <x:c r="Q9" s="17">
        <x:f>Inputs!$B$3+(O9-1)*Inputs!$B$4</x:f>
        <x:v>46097</x:v>
      </x:c>
      <x:c r="R9" s="17">
        <x:f>Q9+N9-1</x:f>
        <x:v>46104</x:v>
      </x:c>
      <x:c r="S9" s="9" t="inlineStr">
        <x:is>
          <x:t xml:space="preserve">DSN-14,PRC-13</x:t>
        </x:is>
      </x:c>
      <x:c r="T9" s="15" t="inlineStr">
        <x:is>
          <x:t xml:space="preserve">N</x:t>
        </x:is>
      </x:c>
      <x:c r="U9" s="14" t="inlineStr">
        <x:is>
          <x:t xml:space="preserve"/>
        </x:is>
      </x:c>
    </x:row>
    <x:row r="10" ht="42" customHeight="1">
      <x:c r="A10" s="9" t="inlineStr">
        <x:is>
          <x:t xml:space="preserve">IMP-06</x:t>
        </x:is>
      </x:c>
      <x:c r="B10" s="9" t="inlineStr">
        <x:is>
          <x:t xml:space="preserve">Implementation</x:t>
        </x:is>
      </x:c>
      <x:c r="C10" s="9" t="inlineStr">
        <x:is>
          <x:t xml:space="preserve">Connector SDK</x:t>
        </x:is>
      </x:c>
      <x:c r="D10" s="13" t="n">
        <x:v>1</x:v>
      </x:c>
      <x:c r="E10" s="9" t="inlineStr">
        <x:is>
          <x:t xml:space="preserve">Connector Templates</x:t>
        </x:is>
      </x:c>
      <x:c r="F10" s="9" t="inlineStr">
        <x:is>
          <x:t xml:space="preserve">Implement connector template: REST API key</x:t>
        </x:is>
      </x:c>
      <x:c r="G10" s="14" t="inlineStr">
        <x:is>
          <x:t xml:space="preserve">Provide reusable template supporting headers, params, pagination and incremental watermark.</x:t>
        </x:is>
      </x:c>
      <x:c r="H10" s="14" t="inlineStr">
        <x:is>
          <x:t xml:space="preserve">REST API key connector template</x:t>
        </x:is>
      </x:c>
      <x:c r="I10" s="9" t="inlineStr">
        <x:is>
          <x:t xml:space="preserve">Data Engineer</x:t>
        </x:is>
      </x:c>
      <x:c r="J10" s="15" t="inlineStr">
        <x:is>
          <x:t xml:space="preserve">R</x:t>
        </x:is>
      </x:c>
      <x:c r="K10" s="15" t="inlineStr">
        <x:is>
          <x:t xml:space="preserve">P1</x:t>
        </x:is>
      </x:c>
      <x:c r="L10" s="15" t="inlineStr">
        <x:is>
          <x:t xml:space="preserve">Not Started</x:t>
        </x:is>
      </x:c>
      <x:c r="M10" s="16" t="n">
        <x:v>5</x:v>
      </x:c>
      <x:c r="N10" s="13" t="n">
        <x:v>6</x:v>
      </x:c>
      <x:c r="O10" s="13" t="n">
        <x:v>4</x:v>
      </x:c>
      <x:c r="P10" s="13">
        <x:f>O10+ROUNDUP(N10/Inputs!$B$4,0)-1</x:f>
        <x:v>4</x:v>
      </x:c>
      <x:c r="Q10" s="17">
        <x:f>Inputs!$B$3+(O10-1)*Inputs!$B$4</x:f>
        <x:v>46097</x:v>
      </x:c>
      <x:c r="R10" s="17">
        <x:f>Q10+N10-1</x:f>
        <x:v>46102</x:v>
      </x:c>
      <x:c r="S10" s="9" t="inlineStr">
        <x:is>
          <x:t xml:space="preserve">IMP-05</x:t>
        </x:is>
      </x:c>
      <x:c r="T10" s="15" t="inlineStr">
        <x:is>
          <x:t xml:space="preserve">N</x:t>
        </x:is>
      </x:c>
      <x:c r="U10" s="14" t="inlineStr">
        <x:is>
          <x:t xml:space="preserve"/>
        </x:is>
      </x:c>
    </x:row>
    <x:row r="11" ht="42" customHeight="1">
      <x:c r="A11" s="9" t="inlineStr">
        <x:is>
          <x:t xml:space="preserve">IMP-07</x:t>
        </x:is>
      </x:c>
      <x:c r="B11" s="9" t="inlineStr">
        <x:is>
          <x:t xml:space="preserve">Implementation</x:t>
        </x:is>
      </x:c>
      <x:c r="C11" s="9" t="inlineStr">
        <x:is>
          <x:t xml:space="preserve">Connector SDK</x:t>
        </x:is>
      </x:c>
      <x:c r="D11" s="13" t="n">
        <x:v>1</x:v>
      </x:c>
      <x:c r="E11" s="9" t="inlineStr">
        <x:is>
          <x:t xml:space="preserve">Connector Templates</x:t>
        </x:is>
      </x:c>
      <x:c r="F11" s="9" t="inlineStr">
        <x:is>
          <x:t xml:space="preserve">Implement connector template: OAuth2 client credentials</x:t>
        </x:is>
      </x:c>
      <x:c r="G11" s="14" t="inlineStr">
        <x:is>
          <x:t xml:space="preserve">Template for OAuth2 flows with token caching/refresh; supports vendor profiles.</x:t>
        </x:is>
      </x:c>
      <x:c r="H11" s="14" t="inlineStr">
        <x:is>
          <x:t xml:space="preserve">OAuth2 connector template</x:t>
        </x:is>
      </x:c>
      <x:c r="I11" s="9" t="inlineStr">
        <x:is>
          <x:t xml:space="preserve">Data Engineer</x:t>
        </x:is>
      </x:c>
      <x:c r="J11" s="15" t="inlineStr">
        <x:is>
          <x:t xml:space="preserve">R</x:t>
        </x:is>
      </x:c>
      <x:c r="K11" s="15" t="inlineStr">
        <x:is>
          <x:t xml:space="preserve">P0</x:t>
        </x:is>
      </x:c>
      <x:c r="L11" s="15" t="inlineStr">
        <x:is>
          <x:t xml:space="preserve">Not Started</x:t>
        </x:is>
      </x:c>
      <x:c r="M11" s="16" t="n">
        <x:v>6</x:v>
      </x:c>
      <x:c r="N11" s="13" t="n">
        <x:v>7</x:v>
      </x:c>
      <x:c r="O11" s="13" t="n">
        <x:v>4</x:v>
      </x:c>
      <x:c r="P11" s="13">
        <x:f>O11+ROUNDUP(N11/Inputs!$B$4,0)-1</x:f>
        <x:v>4</x:v>
      </x:c>
      <x:c r="Q11" s="17">
        <x:f>Inputs!$B$3+(O11-1)*Inputs!$B$4</x:f>
        <x:v>46097</x:v>
      </x:c>
      <x:c r="R11" s="17">
        <x:f>Q11+N11-1</x:f>
        <x:v>46103</x:v>
      </x:c>
      <x:c r="S11" s="9" t="inlineStr">
        <x:is>
          <x:t xml:space="preserve">IMP-05,IMP-16</x:t>
        </x:is>
      </x:c>
      <x:c r="T11" s="15" t="inlineStr">
        <x:is>
          <x:t xml:space="preserve">N</x:t>
        </x:is>
      </x:c>
      <x:c r="U11" s="14" t="inlineStr">
        <x:is>
          <x:t xml:space="preserve"/>
        </x:is>
      </x:c>
    </x:row>
    <x:row r="12" ht="42" customHeight="1">
      <x:c r="A12" s="9" t="inlineStr">
        <x:is>
          <x:t xml:space="preserve">IMP-08</x:t>
        </x:is>
      </x:c>
      <x:c r="B12" s="9" t="inlineStr">
        <x:is>
          <x:t xml:space="preserve">Implementation</x:t>
        </x:is>
      </x:c>
      <x:c r="C12" s="9" t="inlineStr">
        <x:is>
          <x:t xml:space="preserve">Runtime</x:t>
        </x:is>
      </x:c>
      <x:c r="D12" s="13" t="n">
        <x:v>1</x:v>
      </x:c>
      <x:c r="E12" s="9" t="inlineStr">
        <x:is>
          <x:t xml:space="preserve">Extraction Runtime</x:t>
        </x:is>
      </x:c>
      <x:c r="F12" s="9" t="inlineStr">
        <x:is>
          <x:t xml:space="preserve">Implement HTTP client with retries/backoff/jitter</x:t>
        </x:is>
      </x:c>
      <x:c r="G12" s="14" t="inlineStr">
        <x:is>
          <x:t xml:space="preserve">Standard HTTP layer handling 429/5xx/4xx policies and telemetry.</x:t>
        </x:is>
      </x:c>
      <x:c r="H12" s="14" t="inlineStr">
        <x:is>
          <x:t xml:space="preserve">Resilient HTTP client</x:t>
        </x:is>
      </x:c>
      <x:c r="I12" s="9" t="inlineStr">
        <x:is>
          <x:t xml:space="preserve">Data Engineer</x:t>
        </x:is>
      </x:c>
      <x:c r="J12" s="15" t="inlineStr">
        <x:is>
          <x:t xml:space="preserve">R</x:t>
        </x:is>
      </x:c>
      <x:c r="K12" s="15" t="inlineStr">
        <x:is>
          <x:t xml:space="preserve">P0</x:t>
        </x:is>
      </x:c>
      <x:c r="L12" s="15" t="inlineStr">
        <x:is>
          <x:t xml:space="preserve">Not Started</x:t>
        </x:is>
      </x:c>
      <x:c r="M12" s="16" t="n">
        <x:v>6</x:v>
      </x:c>
      <x:c r="N12" s="13" t="n">
        <x:v>7</x:v>
      </x:c>
      <x:c r="O12" s="13" t="n">
        <x:v>4</x:v>
      </x:c>
      <x:c r="P12" s="13">
        <x:f>O12+ROUNDUP(N12/Inputs!$B$4,0)-1</x:f>
        <x:v>4</x:v>
      </x:c>
      <x:c r="Q12" s="17">
        <x:f>Inputs!$B$3+(O12-1)*Inputs!$B$4</x:f>
        <x:v>46097</x:v>
      </x:c>
      <x:c r="R12" s="17">
        <x:f>Q12+N12-1</x:f>
        <x:v>46103</x:v>
      </x:c>
      <x:c r="S12" s="9" t="inlineStr">
        <x:is>
          <x:t xml:space="preserve">DSN-04</x:t>
        </x:is>
      </x:c>
      <x:c r="T12" s="15" t="inlineStr">
        <x:is>
          <x:t xml:space="preserve">N</x:t>
        </x:is>
      </x:c>
      <x:c r="U12" s="14" t="inlineStr">
        <x:is>
          <x:t xml:space="preserve"/>
        </x:is>
      </x:c>
    </x:row>
    <x:row r="13" ht="42" customHeight="1">
      <x:c r="A13" s="9" t="inlineStr">
        <x:is>
          <x:t xml:space="preserve">IMP-13</x:t>
        </x:is>
      </x:c>
      <x:c r="B13" s="9" t="inlineStr">
        <x:is>
          <x:t xml:space="preserve">Implementation</x:t>
        </x:is>
      </x:c>
      <x:c r="C13" s="9" t="inlineStr">
        <x:is>
          <x:t xml:space="preserve">Bronze</x:t>
        </x:is>
      </x:c>
      <x:c r="D13" s="13" t="n">
        <x:v>1</x:v>
      </x:c>
      <x:c r="E13" s="9" t="inlineStr">
        <x:is>
          <x:t xml:space="preserve">Bronze Contract</x:t>
        </x:is>
      </x:c>
      <x:c r="F13" s="9" t="inlineStr">
        <x:is>
          <x:t xml:space="preserve">Create Bronze databases/schemas and naming conventions</x:t>
        </x:is>
      </x:c>
      <x:c r="G13" s="14" t="inlineStr">
        <x:is>
          <x:t xml:space="preserve">Set up UC catalogs/schemas for bronze and ingestion control tables; permission templates.</x:t>
        </x:is>
      </x:c>
      <x:c r="H13" s="14" t="inlineStr">
        <x:is>
          <x:t xml:space="preserve">UC schemas + conventions applied</x:t>
        </x:is>
      </x:c>
      <x:c r="I13" s="9" t="inlineStr">
        <x:is>
          <x:t xml:space="preserve">Data Platform Architect</x:t>
        </x:is>
      </x:c>
      <x:c r="J13" s="15" t="inlineStr">
        <x:is>
          <x:t xml:space="preserve">A</x:t>
        </x:is>
      </x:c>
      <x:c r="K13" s="15" t="inlineStr">
        <x:is>
          <x:t xml:space="preserve">P0</x:t>
        </x:is>
      </x:c>
      <x:c r="L13" s="15" t="inlineStr">
        <x:is>
          <x:t xml:space="preserve">Not Started</x:t>
        </x:is>
      </x:c>
      <x:c r="M13" s="16" t="n">
        <x:v>4</x:v>
      </x:c>
      <x:c r="N13" s="13" t="n">
        <x:v>5</x:v>
      </x:c>
      <x:c r="O13" s="13" t="n">
        <x:v>4</x:v>
      </x:c>
      <x:c r="P13" s="13">
        <x:f>O13+ROUNDUP(N13/Inputs!$B$4,0)-1</x:f>
        <x:v>4</x:v>
      </x:c>
      <x:c r="Q13" s="17">
        <x:f>Inputs!$B$3+(O13-1)*Inputs!$B$4</x:f>
        <x:v>46097</x:v>
      </x:c>
      <x:c r="R13" s="17">
        <x:f>Q13+N13-1</x:f>
        <x:v>46101</x:v>
      </x:c>
      <x:c r="S13" s="9" t="inlineStr">
        <x:is>
          <x:t xml:space="preserve">DSN-05,PLY-11</x:t>
        </x:is>
      </x:c>
      <x:c r="T13" s="15" t="inlineStr">
        <x:is>
          <x:t xml:space="preserve">N</x:t>
        </x:is>
      </x:c>
      <x:c r="U13" s="14" t="inlineStr">
        <x:is>
          <x:t xml:space="preserve"/>
        </x:is>
      </x:c>
    </x:row>
    <x:row r="14" ht="42" customHeight="1">
      <x:c r="A14" s="9" t="inlineStr">
        <x:is>
          <x:t xml:space="preserve">IMP-09</x:t>
        </x:is>
      </x:c>
      <x:c r="B14" s="9" t="inlineStr">
        <x:is>
          <x:t xml:space="preserve">Implementation</x:t>
        </x:is>
      </x:c>
      <x:c r="C14" s="9" t="inlineStr">
        <x:is>
          <x:t xml:space="preserve">Runtime</x:t>
        </x:is>
      </x:c>
      <x:c r="D14" s="13" t="n">
        <x:v>1</x:v>
      </x:c>
      <x:c r="E14" s="9" t="inlineStr">
        <x:is>
          <x:t xml:space="preserve">Extraction Runtime</x:t>
        </x:is>
      </x:c>
      <x:c r="F14" s="9" t="inlineStr">
        <x:is>
          <x:t xml:space="preserve">Implement pagination strategies</x:t>
        </x:is>
      </x:c>
      <x:c r="G14" s="14" t="inlineStr">
        <x:is>
          <x:t xml:space="preserve">Support page number, next-token, cursor-based pagination as configurable strategies.</x:t>
        </x:is>
      </x:c>
      <x:c r="H14" s="14" t="inlineStr">
        <x:is>
          <x:t xml:space="preserve">Pagination module</x:t>
        </x:is>
      </x:c>
      <x:c r="I14" s="9" t="inlineStr">
        <x:is>
          <x:t xml:space="preserve">Data Engineer</x:t>
        </x:is>
      </x:c>
      <x:c r="J14" s="15" t="inlineStr">
        <x:is>
          <x:t xml:space="preserve">R</x:t>
        </x:is>
      </x:c>
      <x:c r="K14" s="15" t="inlineStr">
        <x:is>
          <x:t xml:space="preserve">P0</x:t>
        </x:is>
      </x:c>
      <x:c r="L14" s="15" t="inlineStr">
        <x:is>
          <x:t xml:space="preserve">Not Started</x:t>
        </x:is>
      </x:c>
      <x:c r="M14" s="16" t="n">
        <x:v>6</x:v>
      </x:c>
      <x:c r="N14" s="13" t="n">
        <x:v>7</x:v>
      </x:c>
      <x:c r="O14" s="13" t="n">
        <x:v>5</x:v>
      </x:c>
      <x:c r="P14" s="13">
        <x:f>O14+ROUNDUP(N14/Inputs!$B$4,0)-1</x:f>
        <x:v>5</x:v>
      </x:c>
      <x:c r="Q14" s="17">
        <x:f>Inputs!$B$3+(O14-1)*Inputs!$B$4</x:f>
        <x:v>46104</x:v>
      </x:c>
      <x:c r="R14" s="17">
        <x:f>Q14+N14-1</x:f>
        <x:v>46110</x:v>
      </x:c>
      <x:c r="S14" s="9" t="inlineStr">
        <x:is>
          <x:t xml:space="preserve">IMP-08</x:t>
        </x:is>
      </x:c>
      <x:c r="T14" s="15" t="inlineStr">
        <x:is>
          <x:t xml:space="preserve">N</x:t>
        </x:is>
      </x:c>
      <x:c r="U14" s="14" t="inlineStr">
        <x:is>
          <x:t xml:space="preserve"/>
        </x:is>
      </x:c>
    </x:row>
    <x:row r="15" ht="42" customHeight="1">
      <x:c r="A15" s="9" t="inlineStr">
        <x:is>
          <x:t xml:space="preserve">IMP-10</x:t>
        </x:is>
      </x:c>
      <x:c r="B15" s="9" t="inlineStr">
        <x:is>
          <x:t xml:space="preserve">Implementation</x:t>
        </x:is>
      </x:c>
      <x:c r="C15" s="9" t="inlineStr">
        <x:is>
          <x:t xml:space="preserve">Runtime</x:t>
        </x:is>
      </x:c>
      <x:c r="D15" s="13" t="n">
        <x:v>1</x:v>
      </x:c>
      <x:c r="E15" s="9" t="inlineStr">
        <x:is>
          <x:t xml:space="preserve">Extraction Runtime</x:t>
        </x:is>
      </x:c>
      <x:c r="F15" s="9" t="inlineStr">
        <x:is>
          <x:t xml:space="preserve">Implement incremental load strategies + checkpointing</x:t>
        </x:is>
      </x:c>
      <x:c r="G15" s="14" t="inlineStr">
        <x:is>
          <x:t xml:space="preserve">Support watermark timestamp, since_id, delta token; persist checkpoints in ingestion.state.</x:t>
        </x:is>
      </x:c>
      <x:c r="H15" s="14" t="inlineStr">
        <x:is>
          <x:t xml:space="preserve">Incremental + checkpoint module</x:t>
        </x:is>
      </x:c>
      <x:c r="I15" s="9" t="inlineStr">
        <x:is>
          <x:t xml:space="preserve">Data Engineer</x:t>
        </x:is>
      </x:c>
      <x:c r="J15" s="15" t="inlineStr">
        <x:is>
          <x:t xml:space="preserve">R</x:t>
        </x:is>
      </x:c>
      <x:c r="K15" s="15" t="inlineStr">
        <x:is>
          <x:t xml:space="preserve">P0</x:t>
        </x:is>
      </x:c>
      <x:c r="L15" s="15" t="inlineStr">
        <x:is>
          <x:t xml:space="preserve">Not Started</x:t>
        </x:is>
      </x:c>
      <x:c r="M15" s="16" t="n">
        <x:v>7</x:v>
      </x:c>
      <x:c r="N15" s="13" t="n">
        <x:v>9</x:v>
      </x:c>
      <x:c r="O15" s="13" t="n">
        <x:v>5</x:v>
      </x:c>
      <x:c r="P15" s="13">
        <x:f>O15+ROUNDUP(N15/Inputs!$B$4,0)-1</x:f>
        <x:v>6</x:v>
      </x:c>
      <x:c r="Q15" s="17">
        <x:f>Inputs!$B$3+(O15-1)*Inputs!$B$4</x:f>
        <x:v>46104</x:v>
      </x:c>
      <x:c r="R15" s="17">
        <x:f>Q15+N15-1</x:f>
        <x:v>46112</x:v>
      </x:c>
      <x:c r="S15" s="9" t="inlineStr">
        <x:is>
          <x:t xml:space="preserve">IMP-03,IMP-08</x:t>
        </x:is>
      </x:c>
      <x:c r="T15" s="15" t="inlineStr">
        <x:is>
          <x:t xml:space="preserve">N</x:t>
        </x:is>
      </x:c>
      <x:c r="U15" s="14" t="inlineStr">
        <x:is>
          <x:t xml:space="preserve"/>
        </x:is>
      </x:c>
    </x:row>
    <x:row r="16" ht="42" customHeight="1">
      <x:c r="A16" s="9" t="inlineStr">
        <x:is>
          <x:t xml:space="preserve">IMP-14</x:t>
        </x:is>
      </x:c>
      <x:c r="B16" s="9" t="inlineStr">
        <x:is>
          <x:t xml:space="preserve">Implementation</x:t>
        </x:is>
      </x:c>
      <x:c r="C16" s="9" t="inlineStr">
        <x:is>
          <x:t xml:space="preserve">Bronze</x:t>
        </x:is>
      </x:c>
      <x:c r="D16" s="13" t="n">
        <x:v>1</x:v>
      </x:c>
      <x:c r="E16" s="9" t="inlineStr">
        <x:is>
          <x:t xml:space="preserve">Bronze Contract</x:t>
        </x:is>
      </x:c>
      <x:c r="F16" s="9" t="inlineStr">
        <x:is>
          <x:t xml:space="preserve">Implement Bronze writer (Delta) with metadata columns</x:t>
        </x:is>
      </x:c>
      <x:c r="G16" s="14" t="inlineStr">
        <x:is>
          <x:t xml:space="preserve">Write raw_payload + ingest metadata; idempotency with payload_hash/record_id; batch write patterns.</x:t>
        </x:is>
      </x:c>
      <x:c r="H16" s="14" t="inlineStr">
        <x:is>
          <x:t xml:space="preserve">Bronze writer module</x:t>
        </x:is>
      </x:c>
      <x:c r="I16" s="9" t="inlineStr">
        <x:is>
          <x:t xml:space="preserve">Data Engineer</x:t>
        </x:is>
      </x:c>
      <x:c r="J16" s="15" t="inlineStr">
        <x:is>
          <x:t xml:space="preserve">R</x:t>
        </x:is>
      </x:c>
      <x:c r="K16" s="15" t="inlineStr">
        <x:is>
          <x:t xml:space="preserve">P0</x:t>
        </x:is>
      </x:c>
      <x:c r="L16" s="15" t="inlineStr">
        <x:is>
          <x:t xml:space="preserve">Not Started</x:t>
        </x:is>
      </x:c>
      <x:c r="M16" s="16" t="n">
        <x:v>6</x:v>
      </x:c>
      <x:c r="N16" s="13" t="n">
        <x:v>8</x:v>
      </x:c>
      <x:c r="O16" s="13" t="n">
        <x:v>5</x:v>
      </x:c>
      <x:c r="P16" s="13">
        <x:f>O16+ROUNDUP(N16/Inputs!$B$4,0)-1</x:f>
        <x:v>6</x:v>
      </x:c>
      <x:c r="Q16" s="17">
        <x:f>Inputs!$B$3+(O16-1)*Inputs!$B$4</x:f>
        <x:v>46104</x:v>
      </x:c>
      <x:c r="R16" s="17">
        <x:f>Q16+N16-1</x:f>
        <x:v>46111</x:v>
      </x:c>
      <x:c r="S16" s="9" t="inlineStr">
        <x:is>
          <x:t xml:space="preserve">IMP-13,DSN-05</x:t>
        </x:is>
      </x:c>
      <x:c r="T16" s="15" t="inlineStr">
        <x:is>
          <x:t xml:space="preserve">N</x:t>
        </x:is>
      </x:c>
      <x:c r="U16" s="14" t="inlineStr">
        <x:is>
          <x:t xml:space="preserve"/>
        </x:is>
      </x:c>
    </x:row>
    <x:row r="17" ht="42" customHeight="1">
      <x:c r="A17" s="9" t="inlineStr">
        <x:is>
          <x:t xml:space="preserve">IMP-11</x:t>
        </x:is>
      </x:c>
      <x:c r="B17" s="9" t="inlineStr">
        <x:is>
          <x:t xml:space="preserve">Implementation</x:t>
        </x:is>
      </x:c>
      <x:c r="C17" s="9" t="inlineStr">
        <x:is>
          <x:t xml:space="preserve">Runtime</x:t>
        </x:is>
      </x:c>
      <x:c r="D17" s="13" t="n">
        <x:v>1</x:v>
      </x:c>
      <x:c r="E17" s="9" t="inlineStr">
        <x:is>
          <x:t xml:space="preserve">Extraction Runtime</x:t>
        </x:is>
      </x:c>
      <x:c r="F17" s="9" t="inlineStr">
        <x:is>
          <x:t xml:space="preserve">Implement rate limiting / throttling controls</x:t>
        </x:is>
      </x:c>
      <x:c r="G17" s="14" t="inlineStr">
        <x:is>
          <x:t xml:space="preserve">Global concurrency limits + per-vendor QPS caps; config-driven.</x:t>
        </x:is>
      </x:c>
      <x:c r="H17" s="14" t="inlineStr">
        <x:is>
          <x:t xml:space="preserve">Throttling module</x:t>
        </x:is>
      </x:c>
      <x:c r="I17" s="9" t="inlineStr">
        <x:is>
          <x:t xml:space="preserve">Data Engineer</x:t>
        </x:is>
      </x:c>
      <x:c r="J17" s="15" t="inlineStr">
        <x:is>
          <x:t xml:space="preserve">R</x:t>
        </x:is>
      </x:c>
      <x:c r="K17" s="15" t="inlineStr">
        <x:is>
          <x:t xml:space="preserve">P1</x:t>
        </x:is>
      </x:c>
      <x:c r="L17" s="15" t="inlineStr">
        <x:is>
          <x:t xml:space="preserve">Not Started</x:t>
        </x:is>
      </x:c>
      <x:c r="M17" s="16" t="n">
        <x:v>5</x:v>
      </x:c>
      <x:c r="N17" s="13" t="n">
        <x:v>6</x:v>
      </x:c>
      <x:c r="O17" s="13" t="n">
        <x:v>6</x:v>
      </x:c>
      <x:c r="P17" s="13">
        <x:f>O17+ROUNDUP(N17/Inputs!$B$4,0)-1</x:f>
        <x:v>6</x:v>
      </x:c>
      <x:c r="Q17" s="17">
        <x:f>Inputs!$B$3+(O17-1)*Inputs!$B$4</x:f>
        <x:v>46111</x:v>
      </x:c>
      <x:c r="R17" s="17">
        <x:f>Q17+N17-1</x:f>
        <x:v>46116</x:v>
      </x:c>
      <x:c r="S17" s="9" t="inlineStr">
        <x:is>
          <x:t xml:space="preserve">IMP-08,DSN-20</x:t>
        </x:is>
      </x:c>
      <x:c r="T17" s="15" t="inlineStr">
        <x:is>
          <x:t xml:space="preserve">N</x:t>
        </x:is>
      </x:c>
      <x:c r="U17" s="14" t="inlineStr">
        <x:is>
          <x:t xml:space="preserve"/>
        </x:is>
      </x:c>
    </x:row>
    <x:row r="18" ht="42" customHeight="1">
      <x:c r="A18" s="9" t="inlineStr">
        <x:is>
          <x:t xml:space="preserve">IMP-12</x:t>
        </x:is>
      </x:c>
      <x:c r="B18" s="9" t="inlineStr">
        <x:is>
          <x:t xml:space="preserve">Implementation</x:t>
        </x:is>
      </x:c>
      <x:c r="C18" s="9" t="inlineStr">
        <x:is>
          <x:t xml:space="preserve">Runtime</x:t>
        </x:is>
      </x:c>
      <x:c r="D18" s="13" t="n">
        <x:v>1</x:v>
      </x:c>
      <x:c r="E18" s="9" t="inlineStr">
        <x:is>
          <x:t xml:space="preserve">Extraction Runtime</x:t>
        </x:is>
      </x:c>
      <x:c r="F18" s="9" t="inlineStr">
        <x:is>
          <x:t xml:space="preserve">Implement circuit breaker &amp; vendor outage handling</x:t>
        </x:is>
      </x:c>
      <x:c r="G18" s="14" t="inlineStr">
        <x:is>
          <x:t xml:space="preserve">Stop hammering failing vendors; mark degraded; auto-recover; emit alerts.</x:t>
        </x:is>
      </x:c>
      <x:c r="H18" s="14" t="inlineStr">
        <x:is>
          <x:t xml:space="preserve">Circuit breaker module</x:t>
        </x:is>
      </x:c>
      <x:c r="I18" s="9" t="inlineStr">
        <x:is>
          <x:t xml:space="preserve">Data Engineer</x:t>
        </x:is>
      </x:c>
      <x:c r="J18" s="15" t="inlineStr">
        <x:is>
          <x:t xml:space="preserve">R</x:t>
        </x:is>
      </x:c>
      <x:c r="K18" s="15" t="inlineStr">
        <x:is>
          <x:t xml:space="preserve">P1</x:t>
        </x:is>
      </x:c>
      <x:c r="L18" s="15" t="inlineStr">
        <x:is>
          <x:t xml:space="preserve">Not Started</x:t>
        </x:is>
      </x:c>
      <x:c r="M18" s="16" t="n">
        <x:v>4</x:v>
      </x:c>
      <x:c r="N18" s="13" t="n">
        <x:v>5</x:v>
      </x:c>
      <x:c r="O18" s="13" t="n">
        <x:v>6</x:v>
      </x:c>
      <x:c r="P18" s="13">
        <x:f>O18+ROUNDUP(N18/Inputs!$B$4,0)-1</x:f>
        <x:v>6</x:v>
      </x:c>
      <x:c r="Q18" s="17">
        <x:f>Inputs!$B$3+(O18-1)*Inputs!$B$4</x:f>
        <x:v>46111</x:v>
      </x:c>
      <x:c r="R18" s="17">
        <x:f>Q18+N18-1</x:f>
        <x:v>46115</x:v>
      </x:c>
      <x:c r="S18" s="9" t="inlineStr">
        <x:is>
          <x:t xml:space="preserve">IMP-08</x:t>
        </x:is>
      </x:c>
      <x:c r="T18" s="15" t="inlineStr">
        <x:is>
          <x:t xml:space="preserve">N</x:t>
        </x:is>
      </x:c>
      <x:c r="U18" s="14" t="inlineStr">
        <x:is>
          <x:t xml:space="preserve"/>
        </x:is>
      </x:c>
    </x:row>
    <x:row r="19" ht="42" customHeight="1">
      <x:c r="A19" s="9" t="inlineStr">
        <x:is>
          <x:t xml:space="preserve">IMP-20</x:t>
        </x:is>
      </x:c>
      <x:c r="B19" s="9" t="inlineStr">
        <x:is>
          <x:t xml:space="preserve">Implementation</x:t>
        </x:is>
      </x:c>
      <x:c r="C19" s="9" t="inlineStr">
        <x:is>
          <x:t xml:space="preserve">Orchestration</x:t>
        </x:is>
      </x:c>
      <x:c r="D19" s="13" t="n">
        <x:v>1</x:v>
      </x:c>
      <x:c r="E19" s="9" t="inlineStr">
        <x:is>
          <x:t xml:space="preserve">Workflows</x:t>
        </x:is>
      </x:c>
      <x:c r="F19" s="9" t="inlineStr">
        <x:is>
          <x:t xml:space="preserve">Implement controller workflow (fan-out per source/endpoint)</x:t>
        </x:is>
      </x:c>
      <x:c r="G19" s="14" t="inlineStr">
        <x:is>
          <x:t xml:space="preserve">Read registry and create tasks with concurrency limits; support retries and backfill runs.</x:t>
        </x:is>
      </x:c>
      <x:c r="H19" s="14" t="inlineStr">
        <x:is>
          <x:t xml:space="preserve">Controller workflow</x:t>
        </x:is>
      </x:c>
      <x:c r="I19" s="9" t="inlineStr">
        <x:is>
          <x:t xml:space="preserve">Data Engineer</x:t>
        </x:is>
      </x:c>
      <x:c r="J19" s="15" t="inlineStr">
        <x:is>
          <x:t xml:space="preserve">R</x:t>
        </x:is>
      </x:c>
      <x:c r="K19" s="15" t="inlineStr">
        <x:is>
          <x:t xml:space="preserve">P0</x:t>
        </x:is>
      </x:c>
      <x:c r="L19" s="15" t="inlineStr">
        <x:is>
          <x:t xml:space="preserve">Not Started</x:t>
        </x:is>
      </x:c>
      <x:c r="M19" s="16" t="n">
        <x:v>8</x:v>
      </x:c>
      <x:c r="N19" s="13" t="n">
        <x:v>10</x:v>
      </x:c>
      <x:c r="O19" s="13" t="n">
        <x:v>6</x:v>
      </x:c>
      <x:c r="P19" s="13">
        <x:f>O19+ROUNDUP(N19/Inputs!$B$4,0)-1</x:f>
        <x:v>7</x:v>
      </x:c>
      <x:c r="Q19" s="17">
        <x:f>Inputs!$B$3+(O19-1)*Inputs!$B$4</x:f>
        <x:v>46111</x:v>
      </x:c>
      <x:c r="R19" s="17">
        <x:f>Q19+N19-1</x:f>
        <x:v>46120</x:v>
      </x:c>
      <x:c r="S19" s="9" t="inlineStr">
        <x:is>
          <x:t xml:space="preserve">IMP-03,DSN-06,IMP-11</x:t>
        </x:is>
      </x:c>
      <x:c r="T19" s="15" t="inlineStr">
        <x:is>
          <x:t xml:space="preserve">N</x:t>
        </x:is>
      </x:c>
      <x:c r="U19" s="14" t="inlineStr">
        <x:is>
          <x:t xml:space="preserve"/>
        </x:is>
      </x:c>
    </x:row>
    <x:row r="20" ht="42" customHeight="1">
      <x:c r="A20" s="9" t="inlineStr">
        <x:is>
          <x:t xml:space="preserve">IMP-21</x:t>
        </x:is>
      </x:c>
      <x:c r="B20" s="9" t="inlineStr">
        <x:is>
          <x:t xml:space="preserve">Implementation</x:t>
        </x:is>
      </x:c>
      <x:c r="C20" s="9" t="inlineStr">
        <x:is>
          <x:t xml:space="preserve">Testing</x:t>
        </x:is>
      </x:c>
      <x:c r="D20" s="13" t="n">
        <x:v>1</x:v>
      </x:c>
      <x:c r="E20" s="9" t="inlineStr">
        <x:is>
          <x:t xml:space="preserve">Test Harness</x:t>
        </x:is>
      </x:c>
      <x:c r="F20" s="9" t="inlineStr">
        <x:is>
          <x:t xml:space="preserve">Build connector test harness with mock server</x:t>
        </x:is>
      </x:c>
      <x:c r="G20" s="14" t="inlineStr">
        <x:is>
          <x:t xml:space="preserve">Provide mock API server + golden responses; integration tests for templates.</x:t>
        </x:is>
      </x:c>
      <x:c r="H20" s="14" t="inlineStr">
        <x:is>
          <x:t xml:space="preserve">Connector test harness</x:t>
        </x:is>
      </x:c>
      <x:c r="I20" s="9" t="inlineStr">
        <x:is>
          <x:t xml:space="preserve">QA/Test</x:t>
        </x:is>
      </x:c>
      <x:c r="J20" s="15" t="inlineStr">
        <x:is>
          <x:t xml:space="preserve">A</x:t>
        </x:is>
      </x:c>
      <x:c r="K20" s="15" t="inlineStr">
        <x:is>
          <x:t xml:space="preserve">P1</x:t>
        </x:is>
      </x:c>
      <x:c r="L20" s="15" t="inlineStr">
        <x:is>
          <x:t xml:space="preserve">Not Started</x:t>
        </x:is>
      </x:c>
      <x:c r="M20" s="16" t="n">
        <x:v>6</x:v>
      </x:c>
      <x:c r="N20" s="13" t="n">
        <x:v>8</x:v>
      </x:c>
      <x:c r="O20" s="13" t="n">
        <x:v>6</x:v>
      </x:c>
      <x:c r="P20" s="13">
        <x:f>O20+ROUNDUP(N20/Inputs!$B$4,0)-1</x:f>
        <x:v>7</x:v>
      </x:c>
      <x:c r="Q20" s="17">
        <x:f>Inputs!$B$3+(O20-1)*Inputs!$B$4</x:f>
        <x:v>46111</x:v>
      </x:c>
      <x:c r="R20" s="17">
        <x:f>Q20+N20-1</x:f>
        <x:v>46118</x:v>
      </x:c>
      <x:c r="S20" s="9" t="inlineStr">
        <x:is>
          <x:t xml:space="preserve">DSN-18,IMP-05</x:t>
        </x:is>
      </x:c>
      <x:c r="T20" s="15" t="inlineStr">
        <x:is>
          <x:t xml:space="preserve">N</x:t>
        </x:is>
      </x:c>
      <x:c r="U20" s="14" t="inlineStr">
        <x:is>
          <x:t xml:space="preserve"/>
        </x:is>
      </x:c>
    </x:row>
    <x:row r="21" ht="42" customHeight="1">
      <x:c r="A21" s="9" t="inlineStr">
        <x:is>
          <x:t xml:space="preserve">IMP-37</x:t>
        </x:is>
      </x:c>
      <x:c r="B21" s="9" t="inlineStr">
        <x:is>
          <x:t xml:space="preserve">Implementation</x:t>
        </x:is>
      </x:c>
      <x:c r="C21" s="9" t="inlineStr">
        <x:is>
          <x:t xml:space="preserve">Compute</x:t>
        </x:is>
      </x:c>
      <x:c r="D21" s="13" t="n">
        <x:v>1</x:v>
      </x:c>
      <x:c r="E21" s="9" t="inlineStr">
        <x:is>
          <x:t xml:space="preserve">Compute Policies</x:t>
        </x:is>
      </x:c>
      <x:c r="F21" s="9" t="inlineStr">
        <x:is>
          <x:t xml:space="preserve">Implement cluster/job compute policies</x:t>
        </x:is>
      </x:c>
      <x:c r="G21" s="14" t="inlineStr">
        <x:is>
          <x:t xml:space="preserve">Configure cluster policies, autoscaling constraints, tagging for cost attribution.</x:t>
        </x:is>
      </x:c>
      <x:c r="H21" s="14" t="inlineStr">
        <x:is>
          <x:t xml:space="preserve">Compute policies enforced</x:t>
        </x:is>
      </x:c>
      <x:c r="I21" s="9" t="inlineStr">
        <x:is>
          <x:t xml:space="preserve">DevOps/Platform Eng</x:t>
        </x:is>
      </x:c>
      <x:c r="J21" s="15" t="inlineStr">
        <x:is>
          <x:t xml:space="preserve">R</x:t>
        </x:is>
      </x:c>
      <x:c r="K21" s="15" t="inlineStr">
        <x:is>
          <x:t xml:space="preserve">P1</x:t>
        </x:is>
      </x:c>
      <x:c r="L21" s="15" t="inlineStr">
        <x:is>
          <x:t xml:space="preserve">Not Started</x:t>
        </x:is>
      </x:c>
      <x:c r="M21" s="16" t="n">
        <x:v>4</x:v>
      </x:c>
      <x:c r="N21" s="13" t="n">
        <x:v>5</x:v>
      </x:c>
      <x:c r="O21" s="13" t="n">
        <x:v>7</x:v>
      </x:c>
      <x:c r="P21" s="13">
        <x:f>O21+ROUNDUP(N21/Inputs!$B$4,0)-1</x:f>
        <x:v>7</x:v>
      </x:c>
      <x:c r="Q21" s="17">
        <x:f>Inputs!$B$3+(O21-1)*Inputs!$B$4</x:f>
        <x:v>46118</x:v>
      </x:c>
      <x:c r="R21" s="17">
        <x:f>Q21+N21-1</x:f>
        <x:v>46122</x:v>
      </x:c>
      <x:c r="S21" s="9" t="inlineStr">
        <x:is>
          <x:t xml:space="preserve">DSN-16</x:t>
        </x:is>
      </x:c>
      <x:c r="T21" s="15" t="inlineStr">
        <x:is>
          <x:t xml:space="preserve">N</x:t>
        </x:is>
      </x:c>
      <x:c r="U21" s="14" t="inlineStr">
        <x:is>
          <x:t xml:space="preserve"/>
        </x:is>
      </x:c>
    </x:row>
    <x:row r="22" ht="42" customHeight="1">
      <x:c r="A22" s="18" t="inlineStr">
        <x:is>
          <x:t xml:space="preserve">IMP-57</x:t>
        </x:is>
      </x:c>
      <x:c r="B22" s="18" t="inlineStr">
        <x:is>
          <x:t xml:space="preserve">Implementation</x:t>
        </x:is>
      </x:c>
      <x:c r="C22" s="18" t="inlineStr">
        <x:is>
          <x:t xml:space="preserve">MVP</x:t>
        </x:is>
      </x:c>
      <x:c r="D22" s="19" t="n">
        <x:v>1</x:v>
      </x:c>
      <x:c r="E22" s="18" t="inlineStr">
        <x:is>
          <x:t xml:space="preserve">Engine MVP</x:t>
        </x:is>
      </x:c>
      <x:c r="F22" s="18" t="inlineStr">
        <x:is>
          <x:t xml:space="preserve">MVP engine end-to-end demo (2 sources)</x:t>
        </x:is>
      </x:c>
      <x:c r="G22" s="20" t="inlineStr">
        <x:is>
          <x:t xml:space="preserve">Demonstrate config-driven ingestion for 2 sources with checkpoints, Bronze writes, metrics, and reruns.</x:t>
        </x:is>
      </x:c>
      <x:c r="H22" s="20" t="inlineStr">
        <x:is>
          <x:t xml:space="preserve">MVP demo evidence</x:t>
        </x:is>
      </x:c>
      <x:c r="I22" s="18" t="inlineStr">
        <x:is>
          <x:t xml:space="preserve">Data Engineer</x:t>
        </x:is>
      </x:c>
      <x:c r="J22" s="21" t="inlineStr">
        <x:is>
          <x:t xml:space="preserve">R</x:t>
        </x:is>
      </x:c>
      <x:c r="K22" s="21" t="inlineStr">
        <x:is>
          <x:t xml:space="preserve">P0</x:t>
        </x:is>
      </x:c>
      <x:c r="L22" s="21" t="inlineStr">
        <x:is>
          <x:t xml:space="preserve">Not Started</x:t>
        </x:is>
      </x:c>
      <x:c r="M22" s="22" t="n">
        <x:v>2</x:v>
      </x:c>
      <x:c r="N22" s="19" t="n">
        <x:v>2</x:v>
      </x:c>
      <x:c r="O22" s="19" t="n">
        <x:v>8</x:v>
      </x:c>
      <x:c r="P22" s="19">
        <x:f>O22+ROUNDUP(N22/Inputs!$B$4,0)-1</x:f>
        <x:v>8</x:v>
      </x:c>
      <x:c r="Q22" s="23">
        <x:f>Inputs!$B$3+(O22-1)*Inputs!$B$4</x:f>
        <x:v>46125</x:v>
      </x:c>
      <x:c r="R22" s="23">
        <x:f>Q22+N22-1</x:f>
        <x:v>46126</x:v>
      </x:c>
      <x:c r="S22" s="18" t="inlineStr">
        <x:is>
          <x:t xml:space="preserve">IMP-05,IMP-10,IMP-14,IMP-23</x:t>
        </x:is>
      </x:c>
      <x:c r="T22" s="21" t="inlineStr">
        <x:is>
          <x:t xml:space="preserve">Y</x:t>
        </x:is>
      </x:c>
      <x:c r="U22" s="20" t="inlineStr">
        <x:is>
          <x:t xml:space="preserve"/>
        </x:is>
      </x:c>
    </x:row>
    <x:row r="23" ht="42" customHeight="1">
      <x:c r="A23" s="9" t="inlineStr">
        <x:is>
          <x:t xml:space="preserve">IMP-15</x:t>
        </x:is>
      </x:c>
      <x:c r="B23" s="9" t="inlineStr">
        <x:is>
          <x:t xml:space="preserve">Implementation</x:t>
        </x:is>
      </x:c>
      <x:c r="C23" s="9" t="inlineStr">
        <x:is>
          <x:t xml:space="preserve">Security</x:t>
        </x:is>
      </x:c>
      <x:c r="D23" s="13" t="n">
        <x:v>2</x:v>
      </x:c>
      <x:c r="E23" s="9" t="inlineStr">
        <x:is>
          <x:t xml:space="preserve">Secrets &amp; Identity</x:t>
        </x:is>
      </x:c>
      <x:c r="F23" s="9" t="inlineStr">
        <x:is>
          <x:t xml:space="preserve">Integrate external secret manager with Databricks secret scopes</x:t>
        </x:is>
      </x:c>
      <x:c r="G23" s="14" t="inlineStr">
        <x:is>
          <x:t xml:space="preserve">Configure secret scopes, references, naming conventions across dev/stage/prod.</x:t>
        </x:is>
      </x:c>
      <x:c r="H23" s="14" t="inlineStr">
        <x:is>
          <x:t xml:space="preserve">Secret manager integration</x:t>
        </x:is>
      </x:c>
      <x:c r="I23" s="9" t="inlineStr">
        <x:is>
          <x:t xml:space="preserve">Security/Identity Eng</x:t>
        </x:is>
      </x:c>
      <x:c r="J23" s="15" t="inlineStr">
        <x:is>
          <x:t xml:space="preserve">A</x:t>
        </x:is>
      </x:c>
      <x:c r="K23" s="15" t="inlineStr">
        <x:is>
          <x:t xml:space="preserve">P0</x:t>
        </x:is>
      </x:c>
      <x:c r="L23" s="15" t="inlineStr">
        <x:is>
          <x:t xml:space="preserve">Not Started</x:t>
        </x:is>
      </x:c>
      <x:c r="M23" s="16" t="n">
        <x:v>6</x:v>
      </x:c>
      <x:c r="N23" s="13" t="n">
        <x:v>7</x:v>
      </x:c>
      <x:c r="O23" s="13" t="n">
        <x:v>4</x:v>
      </x:c>
      <x:c r="P23" s="13">
        <x:f>O23+ROUNDUP(N23/Inputs!$B$4,0)-1</x:f>
        <x:v>4</x:v>
      </x:c>
      <x:c r="Q23" s="17">
        <x:f>Inputs!$B$3+(O23-1)*Inputs!$B$4</x:f>
        <x:v>46097</x:v>
      </x:c>
      <x:c r="R23" s="17">
        <x:f>Q23+N23-1</x:f>
        <x:v>46103</x:v>
      </x:c>
      <x:c r="S23" s="9" t="inlineStr">
        <x:is>
          <x:t xml:space="preserve">DSN-07</x:t>
        </x:is>
      </x:c>
      <x:c r="T23" s="15" t="inlineStr">
        <x:is>
          <x:t xml:space="preserve">N</x:t>
        </x:is>
      </x:c>
      <x:c r="U23" s="14" t="inlineStr">
        <x:is>
          <x:t xml:space="preserve"/>
        </x:is>
      </x:c>
    </x:row>
    <x:row r="24" ht="42" customHeight="1">
      <x:c r="A24" s="9" t="inlineStr">
        <x:is>
          <x:t xml:space="preserve">IMP-18</x:t>
        </x:is>
      </x:c>
      <x:c r="B24" s="9" t="inlineStr">
        <x:is>
          <x:t xml:space="preserve">Implementation</x:t>
        </x:is>
      </x:c>
      <x:c r="C24" s="9" t="inlineStr">
        <x:is>
          <x:t xml:space="preserve">DevSecOps</x:t>
        </x:is>
      </x:c>
      <x:c r="D24" s="13" t="n">
        <x:v>2</x:v>
      </x:c>
      <x:c r="E24" s="9" t="inlineStr">
        <x:is>
          <x:t xml:space="preserve">CI/CD</x:t>
        </x:is>
      </x:c>
      <x:c r="F24" s="9" t="inlineStr">
        <x:is>
          <x:t xml:space="preserve">Implement CI pipeline (tests, lint, packaging)</x:t>
        </x:is>
      </x:c>
      <x:c r="G24" s="14" t="inlineStr">
        <x:is>
          <x:t xml:space="preserve">Build pipeline running unit tests, static checks, dependency scanning, package artifacts.</x:t>
        </x:is>
      </x:c>
      <x:c r="H24" s="14" t="inlineStr">
        <x:is>
          <x:t xml:space="preserve">CI pipeline live</x:t>
        </x:is>
      </x:c>
      <x:c r="I24" s="9" t="inlineStr">
        <x:is>
          <x:t xml:space="preserve">DevOps/Platform Eng</x:t>
        </x:is>
      </x:c>
      <x:c r="J24" s="15" t="inlineStr">
        <x:is>
          <x:t xml:space="preserve">R</x:t>
        </x:is>
      </x:c>
      <x:c r="K24" s="15" t="inlineStr">
        <x:is>
          <x:t xml:space="preserve">P0</x:t>
        </x:is>
      </x:c>
      <x:c r="L24" s="15" t="inlineStr">
        <x:is>
          <x:t xml:space="preserve">Not Started</x:t>
        </x:is>
      </x:c>
      <x:c r="M24" s="16" t="n">
        <x:v>7</x:v>
      </x:c>
      <x:c r="N24" s="13" t="n">
        <x:v>9</x:v>
      </x:c>
      <x:c r="O24" s="13" t="n">
        <x:v>4</x:v>
      </x:c>
      <x:c r="P24" s="13">
        <x:f>O24+ROUNDUP(N24/Inputs!$B$4,0)-1</x:f>
        <x:v>5</x:v>
      </x:c>
      <x:c r="Q24" s="17">
        <x:f>Inputs!$B$3+(O24-1)*Inputs!$B$4</x:f>
        <x:v>46097</x:v>
      </x:c>
      <x:c r="R24" s="17">
        <x:f>Q24+N24-1</x:f>
        <x:v>46105</x:v>
      </x:c>
      <x:c r="S24" s="9" t="inlineStr">
        <x:is>
          <x:t xml:space="preserve">DSN-14,DSN-18</x:t>
        </x:is>
      </x:c>
      <x:c r="T24" s="15" t="inlineStr">
        <x:is>
          <x:t xml:space="preserve">N</x:t>
        </x:is>
      </x:c>
      <x:c r="U24" s="14" t="inlineStr">
        <x:is>
          <x:t xml:space="preserve"/>
        </x:is>
      </x:c>
    </x:row>
    <x:row r="25" ht="42" customHeight="1">
      <x:c r="A25" s="9" t="inlineStr">
        <x:is>
          <x:t xml:space="preserve">IMP-16</x:t>
        </x:is>
      </x:c>
      <x:c r="B25" s="9" t="inlineStr">
        <x:is>
          <x:t xml:space="preserve">Implementation</x:t>
        </x:is>
      </x:c>
      <x:c r="C25" s="9" t="inlineStr">
        <x:is>
          <x:t xml:space="preserve">Security</x:t>
        </x:is>
      </x:c>
      <x:c r="D25" s="13" t="n">
        <x:v>2</x:v>
      </x:c>
      <x:c r="E25" s="9" t="inlineStr">
        <x:is>
          <x:t xml:space="preserve">Secrets &amp; Identity</x:t>
        </x:is>
      </x:c>
      <x:c r="F25" s="9" t="inlineStr">
        <x:is>
          <x:t xml:space="preserve">Implement auth handlers (OAuth2/API key) in runtime</x:t>
        </x:is>
      </x:c>
      <x:c r="G25" s="14" t="inlineStr">
        <x:is>
          <x:t xml:space="preserve">Add auth middleware, token caching, refresh scheduling and safe logging (no secrets).</x:t>
        </x:is>
      </x:c>
      <x:c r="H25" s="14" t="inlineStr">
        <x:is>
          <x:t xml:space="preserve">Auth modules implemented</x:t>
        </x:is>
      </x:c>
      <x:c r="I25" s="9" t="inlineStr">
        <x:is>
          <x:t xml:space="preserve">Data Engineer</x:t>
        </x:is>
      </x:c>
      <x:c r="J25" s="15" t="inlineStr">
        <x:is>
          <x:t xml:space="preserve">R</x:t>
        </x:is>
      </x:c>
      <x:c r="K25" s="15" t="inlineStr">
        <x:is>
          <x:t xml:space="preserve">P0</x:t>
        </x:is>
      </x:c>
      <x:c r="L25" s="15" t="inlineStr">
        <x:is>
          <x:t xml:space="preserve">Not Started</x:t>
        </x:is>
      </x:c>
      <x:c r="M25" s="16" t="n">
        <x:v>6</x:v>
      </x:c>
      <x:c r="N25" s="13" t="n">
        <x:v>7</x:v>
      </x:c>
      <x:c r="O25" s="13" t="n">
        <x:v>5</x:v>
      </x:c>
      <x:c r="P25" s="13">
        <x:f>O25+ROUNDUP(N25/Inputs!$B$4,0)-1</x:f>
        <x:v>5</x:v>
      </x:c>
      <x:c r="Q25" s="17">
        <x:f>Inputs!$B$3+(O25-1)*Inputs!$B$4</x:f>
        <x:v>46104</x:v>
      </x:c>
      <x:c r="R25" s="17">
        <x:f>Q25+N25-1</x:f>
        <x:v>46110</x:v>
      </x:c>
      <x:c r="S25" s="9" t="inlineStr">
        <x:is>
          <x:t xml:space="preserve">IMP-16,IMP-07</x:t>
        </x:is>
      </x:c>
      <x:c r="T25" s="15" t="inlineStr">
        <x:is>
          <x:t xml:space="preserve">N</x:t>
        </x:is>
      </x:c>
      <x:c r="U25" s="14" t="inlineStr">
        <x:is>
          <x:t xml:space="preserve"/>
        </x:is>
      </x:c>
    </x:row>
    <x:row r="26" ht="42" customHeight="1">
      <x:c r="A26" s="9" t="inlineStr">
        <x:is>
          <x:t xml:space="preserve">IMP-17</x:t>
        </x:is>
      </x:c>
      <x:c r="B26" s="9" t="inlineStr">
        <x:is>
          <x:t xml:space="preserve">Implementation</x:t>
        </x:is>
      </x:c>
      <x:c r="C26" s="9" t="inlineStr">
        <x:is>
          <x:t xml:space="preserve">Security</x:t>
        </x:is>
      </x:c>
      <x:c r="D26" s="13" t="n">
        <x:v>2</x:v>
      </x:c>
      <x:c r="E26" s="9" t="inlineStr">
        <x:is>
          <x:t xml:space="preserve">Secrets &amp; Identity</x:t>
        </x:is>
      </x:c>
      <x:c r="F26" s="9" t="inlineStr">
        <x:is>
          <x:t xml:space="preserve">Implement service principals for jobs + UC permissions</x:t>
        </x:is>
      </x:c>
      <x:c r="G26" s="14" t="inlineStr">
        <x:is>
          <x:t xml:space="preserve">Create SPNs, assign policies, grant UC permissions, attach to workflows.</x:t>
        </x:is>
      </x:c>
      <x:c r="H26" s="14" t="inlineStr">
        <x:is>
          <x:t xml:space="preserve">Service principals in place</x:t>
        </x:is>
      </x:c>
      <x:c r="I26" s="9" t="inlineStr">
        <x:is>
          <x:t xml:space="preserve">Security/Identity Eng</x:t>
        </x:is>
      </x:c>
      <x:c r="J26" s="15" t="inlineStr">
        <x:is>
          <x:t xml:space="preserve">A</x:t>
        </x:is>
      </x:c>
      <x:c r="K26" s="15" t="inlineStr">
        <x:is>
          <x:t xml:space="preserve">P0</x:t>
        </x:is>
      </x:c>
      <x:c r="L26" s="15" t="inlineStr">
        <x:is>
          <x:t xml:space="preserve">Not Started</x:t>
        </x:is>
      </x:c>
      <x:c r="M26" s="16" t="n">
        <x:v>5</x:v>
      </x:c>
      <x:c r="N26" s="13" t="n">
        <x:v>6</x:v>
      </x:c>
      <x:c r="O26" s="13" t="n">
        <x:v>5</x:v>
      </x:c>
      <x:c r="P26" s="13">
        <x:f>O26+ROUNDUP(N26/Inputs!$B$4,0)-1</x:f>
        <x:v>5</x:v>
      </x:c>
      <x:c r="Q26" s="17">
        <x:f>Inputs!$B$3+(O26-1)*Inputs!$B$4</x:f>
        <x:v>46104</x:v>
      </x:c>
      <x:c r="R26" s="17">
        <x:f>Q26+N26-1</x:f>
        <x:v>46109</x:v>
      </x:c>
      <x:c r="S26" s="9" t="inlineStr">
        <x:is>
          <x:t xml:space="preserve">SOP-09,PLY-11</x:t>
        </x:is>
      </x:c>
      <x:c r="T26" s="15" t="inlineStr">
        <x:is>
          <x:t xml:space="preserve">N</x:t>
        </x:is>
      </x:c>
      <x:c r="U26" s="14" t="inlineStr">
        <x:is>
          <x:t xml:space="preserve"/>
        </x:is>
      </x:c>
    </x:row>
    <x:row r="27" ht="42" customHeight="1">
      <x:c r="A27" s="9" t="inlineStr">
        <x:is>
          <x:t xml:space="preserve">IMP-19</x:t>
        </x:is>
      </x:c>
      <x:c r="B27" s="9" t="inlineStr">
        <x:is>
          <x:t xml:space="preserve">Implementation</x:t>
        </x:is>
      </x:c>
      <x:c r="C27" s="9" t="inlineStr">
        <x:is>
          <x:t xml:space="preserve">DevSecOps</x:t>
        </x:is>
      </x:c>
      <x:c r="D27" s="13" t="n">
        <x:v>2</x:v>
      </x:c>
      <x:c r="E27" s="9" t="inlineStr">
        <x:is>
          <x:t xml:space="preserve">CD/IaC</x:t>
        </x:is>
      </x:c>
      <x:c r="F27" s="9" t="inlineStr">
        <x:is>
          <x:t xml:space="preserve">Implement IaC for Jobs/Workflows/Permissions</x:t>
        </x:is>
      </x:c>
      <x:c r="G27" s="14" t="inlineStr">
        <x:is>
          <x:t xml:space="preserve">Terraform modules for jobs, clusters, permissions, secret scope references, env configs.</x:t>
        </x:is>
      </x:c>
      <x:c r="H27" s="14" t="inlineStr">
        <x:is>
          <x:t xml:space="preserve">IaC baseline</x:t>
        </x:is>
      </x:c>
      <x:c r="I27" s="9" t="inlineStr">
        <x:is>
          <x:t xml:space="preserve">DevOps/Platform Eng</x:t>
        </x:is>
      </x:c>
      <x:c r="J27" s="15" t="inlineStr">
        <x:is>
          <x:t xml:space="preserve">R</x:t>
        </x:is>
      </x:c>
      <x:c r="K27" s="15" t="inlineStr">
        <x:is>
          <x:t xml:space="preserve">P1</x:t>
        </x:is>
      </x:c>
      <x:c r="L27" s="15" t="inlineStr">
        <x:is>
          <x:t xml:space="preserve">Not Started</x:t>
        </x:is>
      </x:c>
      <x:c r="M27" s="16" t="n">
        <x:v>8</x:v>
      </x:c>
      <x:c r="N27" s="13" t="n">
        <x:v>10</x:v>
      </x:c>
      <x:c r="O27" s="13" t="n">
        <x:v>6</x:v>
      </x:c>
      <x:c r="P27" s="13">
        <x:f>O27+ROUNDUP(N27/Inputs!$B$4,0)-1</x:f>
        <x:v>7</x:v>
      </x:c>
      <x:c r="Q27" s="17">
        <x:f>Inputs!$B$3+(O27-1)*Inputs!$B$4</x:f>
        <x:v>46111</x:v>
      </x:c>
      <x:c r="R27" s="17">
        <x:f>Q27+N27-1</x:f>
        <x:v>46120</x:v>
      </x:c>
      <x:c r="S27" s="9" t="inlineStr">
        <x:is>
          <x:t xml:space="preserve">IMP-19,DSN-14</x:t>
        </x:is>
      </x:c>
      <x:c r="T27" s="15" t="inlineStr">
        <x:is>
          <x:t xml:space="preserve">N</x:t>
        </x:is>
      </x:c>
      <x:c r="U27" s="14" t="inlineStr">
        <x:is>
          <x:t xml:space="preserve"/>
        </x:is>
      </x:c>
    </x:row>
    <x:row r="28" ht="42" customHeight="1">
      <x:c r="A28" s="9" t="inlineStr">
        <x:is>
          <x:t xml:space="preserve">IMP-34</x:t>
        </x:is>
      </x:c>
      <x:c r="B28" s="9" t="inlineStr">
        <x:is>
          <x:t xml:space="preserve">Implementation</x:t>
        </x:is>
      </x:c>
      <x:c r="C28" s="9" t="inlineStr">
        <x:is>
          <x:t xml:space="preserve">Governance</x:t>
        </x:is>
      </x:c>
      <x:c r="D28" s="13" t="n">
        <x:v>2</x:v>
      </x:c>
      <x:c r="E28" s="9" t="inlineStr">
        <x:is>
          <x:t xml:space="preserve">Permissions</x:t>
        </x:is>
      </x:c>
      <x:c r="F28" s="9" t="inlineStr">
        <x:is>
          <x:t xml:space="preserve">Implement UC permission templates (by classification/tier)</x:t>
        </x:is>
      </x:c>
      <x:c r="G28" s="14" t="inlineStr">
        <x:is>
          <x:t xml:space="preserve">Create groups and grants for Bronze/metrics/audit; map to data classification.</x:t>
        </x:is>
      </x:c>
      <x:c r="H28" s="14" t="inlineStr">
        <x:is>
          <x:t xml:space="preserve">UC permissions applied</x:t>
        </x:is>
      </x:c>
      <x:c r="I28" s="9" t="inlineStr">
        <x:is>
          <x:t xml:space="preserve">Security/Identity Eng</x:t>
        </x:is>
      </x:c>
      <x:c r="J28" s="15" t="inlineStr">
        <x:is>
          <x:t xml:space="preserve">A</x:t>
        </x:is>
      </x:c>
      <x:c r="K28" s="15" t="inlineStr">
        <x:is>
          <x:t xml:space="preserve">P0</x:t>
        </x:is>
      </x:c>
      <x:c r="L28" s="15" t="inlineStr">
        <x:is>
          <x:t xml:space="preserve">Not Started</x:t>
        </x:is>
      </x:c>
      <x:c r="M28" s="16" t="n">
        <x:v>5</x:v>
      </x:c>
      <x:c r="N28" s="13" t="n">
        <x:v>6</x:v>
      </x:c>
      <x:c r="O28" s="13" t="n">
        <x:v>7</x:v>
      </x:c>
      <x:c r="P28" s="13">
        <x:f>O28+ROUNDUP(N28/Inputs!$B$4,0)-1</x:f>
        <x:v>7</x:v>
      </x:c>
      <x:c r="Q28" s="17">
        <x:f>Inputs!$B$3+(O28-1)*Inputs!$B$4</x:f>
        <x:v>46118</x:v>
      </x:c>
      <x:c r="R28" s="17">
        <x:f>Q28+N28-1</x:f>
        <x:v>46123</x:v>
      </x:c>
      <x:c r="S28" s="9" t="inlineStr">
        <x:is>
          <x:t xml:space="preserve">PLY-05,PLY-11,IMP-17</x:t>
        </x:is>
      </x:c>
      <x:c r="T28" s="15" t="inlineStr">
        <x:is>
          <x:t xml:space="preserve">N</x:t>
        </x:is>
      </x:c>
      <x:c r="U28" s="14" t="inlineStr">
        <x:is>
          <x:t xml:space="preserve"/>
        </x:is>
      </x:c>
    </x:row>
    <x:row r="29" ht="42" customHeight="1">
      <x:c r="A29" s="18" t="inlineStr">
        <x:is>
          <x:t xml:space="preserve">IMP-56</x:t>
        </x:is>
      </x:c>
      <x:c r="B29" s="18" t="inlineStr">
        <x:is>
          <x:t xml:space="preserve">Implementation</x:t>
        </x:is>
      </x:c>
      <x:c r="C29" s="18" t="inlineStr">
        <x:is>
          <x:t xml:space="preserve">Security</x:t>
        </x:is>
      </x:c>
      <x:c r="D29" s="19" t="n">
        <x:v>2</x:v>
      </x:c>
      <x:c r="E29" s="18" t="inlineStr">
        <x:is>
          <x:t xml:space="preserve">Reviews</x:t>
        </x:is>
      </x:c>
      <x:c r="F29" s="18" t="inlineStr">
        <x:is>
          <x:t xml:space="preserve">Security design review &amp; signoff</x:t>
        </x:is>
      </x:c>
      <x:c r="G29" s="20" t="inlineStr">
        <x:is>
          <x:t xml:space="preserve">Review secrets, identities, access control, logging and rotation; address findings.</x:t>
        </x:is>
      </x:c>
      <x:c r="H29" s="20" t="inlineStr">
        <x:is>
          <x:t xml:space="preserve">Security review signoff</x:t>
        </x:is>
      </x:c>
      <x:c r="I29" s="18" t="inlineStr">
        <x:is>
          <x:t xml:space="preserve">Security/Identity Eng</x:t>
        </x:is>
      </x:c>
      <x:c r="J29" s="21" t="inlineStr">
        <x:is>
          <x:t xml:space="preserve">A</x:t>
        </x:is>
      </x:c>
      <x:c r="K29" s="21" t="inlineStr">
        <x:is>
          <x:t xml:space="preserve">P0</x:t>
        </x:is>
      </x:c>
      <x:c r="L29" s="21" t="inlineStr">
        <x:is>
          <x:t xml:space="preserve">Not Started</x:t>
        </x:is>
      </x:c>
      <x:c r="M29" s="22" t="n">
        <x:v>3</x:v>
      </x:c>
      <x:c r="N29" s="19" t="n">
        <x:v>3</x:v>
      </x:c>
      <x:c r="O29" s="19" t="n">
        <x:v>7</x:v>
      </x:c>
      <x:c r="P29" s="19">
        <x:f>O29+ROUNDUP(N29/Inputs!$B$4,0)-1</x:f>
        <x:v>7</x:v>
      </x:c>
      <x:c r="Q29" s="23">
        <x:f>Inputs!$B$3+(O29-1)*Inputs!$B$4</x:f>
        <x:v>46118</x:v>
      </x:c>
      <x:c r="R29" s="23">
        <x:f>Q29+N29-1</x:f>
        <x:v>46120</x:v>
      </x:c>
      <x:c r="S29" s="18" t="inlineStr">
        <x:is>
          <x:t xml:space="preserve">IMP-16,IMP-17,PLY-16</x:t>
        </x:is>
      </x:c>
      <x:c r="T29" s="21" t="inlineStr">
        <x:is>
          <x:t xml:space="preserve">Y</x:t>
        </x:is>
      </x:c>
      <x:c r="U29" s="20" t="inlineStr">
        <x:is>
          <x:t xml:space="preserve"/>
        </x:is>
      </x:c>
    </x:row>
    <x:row r="30" ht="42" customHeight="1">
      <x:c r="A30" s="9" t="inlineStr">
        <x:is>
          <x:t xml:space="preserve">IMP-33</x:t>
        </x:is>
      </x:c>
      <x:c r="B30" s="9" t="inlineStr">
        <x:is>
          <x:t xml:space="preserve">Implementation</x:t>
        </x:is>
      </x:c>
      <x:c r="C30" s="9" t="inlineStr">
        <x:is>
          <x:t xml:space="preserve">Governance</x:t>
        </x:is>
      </x:c>
      <x:c r="D30" s="13" t="n">
        <x:v>2</x:v>
      </x:c>
      <x:c r="E30" s="9" t="inlineStr">
        <x:is>
          <x:t xml:space="preserve">Documentation</x:t>
        </x:is>
      </x:c>
      <x:c r="F30" s="9" t="inlineStr">
        <x:is>
          <x:t xml:space="preserve">Publish Policies &amp; Processes set (approved)</x:t>
        </x:is>
      </x:c>
      <x:c r="G30" s="14" t="inlineStr">
        <x:is>
          <x:t xml:space="preserve">Create documents, run approvals, publish in central repository with versioning.</x:t>
        </x:is>
      </x:c>
      <x:c r="H30" s="14" t="inlineStr">
        <x:is>
          <x:t xml:space="preserve">Approved governance docs</x:t>
        </x:is>
      </x:c>
      <x:c r="I30" s="9" t="inlineStr">
        <x:is>
          <x:t xml:space="preserve">Product Owner</x:t>
        </x:is>
      </x:c>
      <x:c r="J30" s="15" t="inlineStr">
        <x:is>
          <x:t xml:space="preserve">A</x:t>
        </x:is>
      </x:c>
      <x:c r="K30" s="15" t="inlineStr">
        <x:is>
          <x:t xml:space="preserve">P0</x:t>
        </x:is>
      </x:c>
      <x:c r="L30" s="15" t="inlineStr">
        <x:is>
          <x:t xml:space="preserve">Not Started</x:t>
        </x:is>
      </x:c>
      <x:c r="M30" s="16" t="n">
        <x:v>6</x:v>
      </x:c>
      <x:c r="N30" s="13" t="n">
        <x:v>8</x:v>
      </x:c>
      <x:c r="O30" s="13" t="n">
        <x:v>8</x:v>
      </x:c>
      <x:c r="P30" s="13">
        <x:f>O30+ROUNDUP(N30/Inputs!$B$4,0)-1</x:f>
        <x:v>9</x:v>
      </x:c>
      <x:c r="Q30" s="17">
        <x:f>Inputs!$B$3+(O30-1)*Inputs!$B$4</x:f>
        <x:v>46125</x:v>
      </x:c>
      <x:c r="R30" s="17">
        <x:f>Q30+N30-1</x:f>
        <x:v>46132</x:v>
      </x:c>
      <x:c r="S30" s="9" t="inlineStr">
        <x:is>
          <x:t xml:space="preserve">PLY-01,PLY-02,PLY-03,PLY-07,PRC-01</x:t>
        </x:is>
      </x:c>
      <x:c r="T30" s="15" t="inlineStr">
        <x:is>
          <x:t xml:space="preserve">N</x:t>
        </x:is>
      </x:c>
      <x:c r="U30" s="14" t="inlineStr">
        <x:is>
          <x:t xml:space="preserve"/>
        </x:is>
      </x:c>
    </x:row>
    <x:row r="31" ht="42" customHeight="1">
      <x:c r="A31" s="9" t="inlineStr">
        <x:is>
          <x:t xml:space="preserve">IMP-36</x:t>
        </x:is>
      </x:c>
      <x:c r="B31" s="9" t="inlineStr">
        <x:is>
          <x:t xml:space="preserve">Implementation</x:t>
        </x:is>
      </x:c>
      <x:c r="C31" s="9" t="inlineStr">
        <x:is>
          <x:t xml:space="preserve">DevSecOps</x:t>
        </x:is>
      </x:c>
      <x:c r="D31" s="13" t="n">
        <x:v>2</x:v>
      </x:c>
      <x:c r="E31" s="9" t="inlineStr">
        <x:is>
          <x:t xml:space="preserve">CD</x:t>
        </x:is>
      </x:c>
      <x:c r="F31" s="9" t="inlineStr">
        <x:is>
          <x:t xml:space="preserve">Implement CD pipeline (deploy dev/stage/prod with gates)</x:t>
        </x:is>
      </x:c>
      <x:c r="G31" s="14" t="inlineStr">
        <x:is>
          <x:t xml:space="preserve">Automate deployments of jobs, libraries and configs with approvals and smoke tests.</x:t>
        </x:is>
      </x:c>
      <x:c r="H31" s="14" t="inlineStr">
        <x:is>
          <x:t xml:space="preserve">CD pipeline live</x:t>
        </x:is>
      </x:c>
      <x:c r="I31" s="9" t="inlineStr">
        <x:is>
          <x:t xml:space="preserve">DevOps/Platform Eng</x:t>
        </x:is>
      </x:c>
      <x:c r="J31" s="15" t="inlineStr">
        <x:is>
          <x:t xml:space="preserve">R</x:t>
        </x:is>
      </x:c>
      <x:c r="K31" s="15" t="inlineStr">
        <x:is>
          <x:t xml:space="preserve">P0</x:t>
        </x:is>
      </x:c>
      <x:c r="L31" s="15" t="inlineStr">
        <x:is>
          <x:t xml:space="preserve">Not Started</x:t>
        </x:is>
      </x:c>
      <x:c r="M31" s="16" t="n">
        <x:v>8</x:v>
      </x:c>
      <x:c r="N31" s="13" t="n">
        <x:v>10</x:v>
      </x:c>
      <x:c r="O31" s="13" t="n">
        <x:v>8</x:v>
      </x:c>
      <x:c r="P31" s="13">
        <x:f>O31+ROUNDUP(N31/Inputs!$B$4,0)-1</x:f>
        <x:v>9</x:v>
      </x:c>
      <x:c r="Q31" s="17">
        <x:f>Inputs!$B$3+(O31-1)*Inputs!$B$4</x:f>
        <x:v>46125</x:v>
      </x:c>
      <x:c r="R31" s="17">
        <x:f>Q31+N31-1</x:f>
        <x:v>46134</x:v>
      </x:c>
      <x:c r="S31" s="9" t="inlineStr">
        <x:is>
          <x:t xml:space="preserve">IMP-20,IMP-19</x:t>
        </x:is>
      </x:c>
      <x:c r="T31" s="15" t="inlineStr">
        <x:is>
          <x:t xml:space="preserve">N</x:t>
        </x:is>
      </x:c>
      <x:c r="U31" s="14" t="inlineStr">
        <x:is>
          <x:t xml:space="preserve"/>
        </x:is>
      </x:c>
    </x:row>
    <x:row r="32" ht="42" customHeight="1">
      <x:c r="A32" s="9" t="inlineStr">
        <x:is>
          <x:t xml:space="preserve">IMP-32</x:t>
        </x:is>
      </x:c>
      <x:c r="B32" s="9" t="inlineStr">
        <x:is>
          <x:t xml:space="preserve">Implementation</x:t>
        </x:is>
      </x:c>
      <x:c r="C32" s="9" t="inlineStr">
        <x:is>
          <x:t xml:space="preserve">Governance</x:t>
        </x:is>
      </x:c>
      <x:c r="D32" s="13" t="n">
        <x:v>2</x:v>
      </x:c>
      <x:c r="E32" s="9" t="inlineStr">
        <x:is>
          <x:t xml:space="preserve">Documentation</x:t>
        </x:is>
      </x:c>
      <x:c r="F32" s="9" t="inlineStr">
        <x:is>
          <x:t xml:space="preserve">Draft Operations Handbook v1</x:t>
        </x:is>
      </x:c>
      <x:c r="G32" s="14" t="inlineStr">
        <x:is>
          <x:t xml:space="preserve">Create handbook: architecture, SLOs, dashboards, alerts, runbooks, escalation, release process.</x:t>
        </x:is>
      </x:c>
      <x:c r="H32" s="14" t="inlineStr">
        <x:is>
          <x:t xml:space="preserve">Ops handbook v1</x:t>
        </x:is>
      </x:c>
      <x:c r="I32" s="9" t="inlineStr">
        <x:is>
          <x:t xml:space="preserve">SRE/Operations</x:t>
        </x:is>
      </x:c>
      <x:c r="J32" s="15" t="inlineStr">
        <x:is>
          <x:t xml:space="preserve">A</x:t>
        </x:is>
      </x:c>
      <x:c r="K32" s="15" t="inlineStr">
        <x:is>
          <x:t xml:space="preserve">P1</x:t>
        </x:is>
      </x:c>
      <x:c r="L32" s="15" t="inlineStr">
        <x:is>
          <x:t xml:space="preserve">Not Started</x:t>
        </x:is>
      </x:c>
      <x:c r="M32" s="16" t="n">
        <x:v>5</x:v>
      </x:c>
      <x:c r="N32" s="13" t="n">
        <x:v>6</x:v>
      </x:c>
      <x:c r="O32" s="13" t="n">
        <x:v>9</x:v>
      </x:c>
      <x:c r="P32" s="13">
        <x:f>O32+ROUNDUP(N32/Inputs!$B$4,0)-1</x:f>
        <x:v>9</x:v>
      </x:c>
      <x:c r="Q32" s="17">
        <x:f>Inputs!$B$3+(O32-1)*Inputs!$B$4</x:f>
        <x:v>46132</x:v>
      </x:c>
      <x:c r="R32" s="17">
        <x:f>Q32+N32-1</x:f>
        <x:v>46137</x:v>
      </x:c>
      <x:c r="S32" s="9" t="inlineStr">
        <x:is>
          <x:t xml:space="preserve">DSN-15,IMP-24</x:t>
        </x:is>
      </x:c>
      <x:c r="T32" s="15" t="inlineStr">
        <x:is>
          <x:t xml:space="preserve">N</x:t>
        </x:is>
      </x:c>
      <x:c r="U32" s="14" t="inlineStr">
        <x:is>
          <x:t xml:space="preserve"/>
        </x:is>
      </x:c>
    </x:row>
    <x:row r="33" ht="42" customHeight="1">
      <x:c r="A33" s="9" t="inlineStr">
        <x:is>
          <x:t xml:space="preserve">IMP-38</x:t>
        </x:is>
      </x:c>
      <x:c r="B33" s="9" t="inlineStr">
        <x:is>
          <x:t xml:space="preserve">Implementation</x:t>
        </x:is>
      </x:c>
      <x:c r="C33" s="9" t="inlineStr">
        <x:is>
          <x:t xml:space="preserve">Security</x:t>
        </x:is>
      </x:c>
      <x:c r="D33" s="13" t="n">
        <x:v>2</x:v>
      </x:c>
      <x:c r="E33" s="9" t="inlineStr">
        <x:is>
          <x:t xml:space="preserve">Monitoring</x:t>
        </x:is>
      </x:c>
      <x:c r="F33" s="9" t="inlineStr">
        <x:is>
          <x:t xml:space="preserve">Implement security audit logs and monitoring</x:t>
        </x:is>
      </x:c>
      <x:c r="G33" s="14" t="inlineStr">
        <x:is>
          <x:t xml:space="preserve">Capture permission changes, secret scope changes, deploy events; integrate with SIEM if applicable.</x:t>
        </x:is>
      </x:c>
      <x:c r="H33" s="14" t="inlineStr">
        <x:is>
          <x:t xml:space="preserve">Security monitoring live</x:t>
        </x:is>
      </x:c>
      <x:c r="I33" s="9" t="inlineStr">
        <x:is>
          <x:t xml:space="preserve">Security/Identity Eng</x:t>
        </x:is>
      </x:c>
      <x:c r="J33" s="15" t="inlineStr">
        <x:is>
          <x:t xml:space="preserve">A</x:t>
        </x:is>
      </x:c>
      <x:c r="K33" s="15" t="inlineStr">
        <x:is>
          <x:t xml:space="preserve">P1</x:t>
        </x:is>
      </x:c>
      <x:c r="L33" s="15" t="inlineStr">
        <x:is>
          <x:t xml:space="preserve">Not Started</x:t>
        </x:is>
      </x:c>
      <x:c r="M33" s="16" t="n">
        <x:v>5</x:v>
      </x:c>
      <x:c r="N33" s="13" t="n">
        <x:v>6</x:v>
      </x:c>
      <x:c r="O33" s="13" t="n">
        <x:v>9</x:v>
      </x:c>
      <x:c r="P33" s="13">
        <x:f>O33+ROUNDUP(N33/Inputs!$B$4,0)-1</x:f>
        <x:v>9</x:v>
      </x:c>
      <x:c r="Q33" s="17">
        <x:f>Inputs!$B$3+(O33-1)*Inputs!$B$4</x:f>
        <x:v>46132</x:v>
      </x:c>
      <x:c r="R33" s="17">
        <x:f>Q33+N33-1</x:f>
        <x:v>46137</x:v>
      </x:c>
      <x:c r="S33" s="9" t="inlineStr">
        <x:is>
          <x:t xml:space="preserve">PLY-16,IMP-32</x:t>
        </x:is>
      </x:c>
      <x:c r="T33" s="15" t="inlineStr">
        <x:is>
          <x:t xml:space="preserve">N</x:t>
        </x:is>
      </x:c>
      <x:c r="U33" s="14" t="inlineStr">
        <x:is>
          <x:t xml:space="preserve"/>
        </x:is>
      </x:c>
    </x:row>
    <x:row r="34" ht="42" customHeight="1">
      <x:c r="A34" s="9" t="inlineStr">
        <x:is>
          <x:t xml:space="preserve">IMP-35</x:t>
        </x:is>
      </x:c>
      <x:c r="B34" s="9" t="inlineStr">
        <x:is>
          <x:t xml:space="preserve">Implementation</x:t>
        </x:is>
      </x:c>
      <x:c r="C34" s="9" t="inlineStr">
        <x:is>
          <x:t xml:space="preserve">Governance</x:t>
        </x:is>
      </x:c>
      <x:c r="D34" s="13" t="n">
        <x:v>2</x:v>
      </x:c>
      <x:c r="E34" s="9" t="inlineStr">
        <x:is>
          <x:t xml:space="preserve">Retention</x:t>
        </x:is>
      </x:c>
      <x:c r="F34" s="9" t="inlineStr">
        <x:is>
          <x:t xml:space="preserve">Implement retention purge jobs</x:t>
        </x:is>
      </x:c>
      <x:c r="G34" s="14" t="inlineStr">
        <x:is>
          <x:t xml:space="preserve">Scheduled jobs to enforce Bronze/log/DLQ retention with audit evidence.</x:t>
        </x:is>
      </x:c>
      <x:c r="H34" s="14" t="inlineStr">
        <x:is>
          <x:t xml:space="preserve">Retention jobs live</x:t>
        </x:is>
      </x:c>
      <x:c r="I34" s="9" t="inlineStr">
        <x:is>
          <x:t xml:space="preserve">Data Engineer</x:t>
        </x:is>
      </x:c>
      <x:c r="J34" s="15" t="inlineStr">
        <x:is>
          <x:t xml:space="preserve">R</x:t>
        </x:is>
      </x:c>
      <x:c r="K34" s="15" t="inlineStr">
        <x:is>
          <x:t xml:space="preserve">P1</x:t>
        </x:is>
      </x:c>
      <x:c r="L34" s="15" t="inlineStr">
        <x:is>
          <x:t xml:space="preserve">Not Started</x:t>
        </x:is>
      </x:c>
      <x:c r="M34" s="16" t="n">
        <x:v>4</x:v>
      </x:c>
      <x:c r="N34" s="13" t="n">
        <x:v>5</x:v>
      </x:c>
      <x:c r="O34" s="13" t="n">
        <x:v>11</x:v>
      </x:c>
      <x:c r="P34" s="13">
        <x:f>O34+ROUNDUP(N34/Inputs!$B$4,0)-1</x:f>
        <x:v>11</x:v>
      </x:c>
      <x:c r="Q34" s="17">
        <x:f>Inputs!$B$3+(O34-1)*Inputs!$B$4</x:f>
        <x:v>46146</x:v>
      </x:c>
      <x:c r="R34" s="17">
        <x:f>Q34+N34-1</x:f>
        <x:v>46150</x:v>
      </x:c>
      <x:c r="S34" s="9" t="inlineStr">
        <x:is>
          <x:t xml:space="preserve">DSN-17,PLY-06</x:t>
        </x:is>
      </x:c>
      <x:c r="T34" s="15" t="inlineStr">
        <x:is>
          <x:t xml:space="preserve">N</x:t>
        </x:is>
      </x:c>
      <x:c r="U34" s="14" t="inlineStr">
        <x:is>
          <x:t xml:space="preserve"/>
        </x:is>
      </x:c>
    </x:row>
    <x:row r="35" ht="42" customHeight="1">
      <x:c r="A35" s="9" t="inlineStr">
        <x:is>
          <x:t xml:space="preserve">IMP-22</x:t>
        </x:is>
      </x:c>
      <x:c r="B35" s="9" t="inlineStr">
        <x:is>
          <x:t xml:space="preserve">Implementation</x:t>
        </x:is>
      </x:c>
      <x:c r="C35" s="9" t="inlineStr">
        <x:is>
          <x:t xml:space="preserve">Observability</x:t>
        </x:is>
      </x:c>
      <x:c r="D35" s="13" t="n">
        <x:v>3</x:v>
      </x:c>
      <x:c r="E35" s="9" t="inlineStr">
        <x:is>
          <x:t xml:space="preserve">Metrics</x:t>
        </x:is>
      </x:c>
      <x:c r="F35" s="9" t="inlineStr">
        <x:is>
          <x:t xml:space="preserve">Implement metrics tables and logging</x:t>
        </x:is>
      </x:c>
      <x:c r="G35" s="14" t="inlineStr">
        <x:is>
          <x:t xml:space="preserve">Create ingestion.runs, ingestion.metrics, ingestion.errors population and standardized logging.</x:t>
        </x:is>
      </x:c>
      <x:c r="H35" s="14" t="inlineStr">
        <x:is>
          <x:t xml:space="preserve">Metrics+logs implemented</x:t>
        </x:is>
      </x:c>
      <x:c r="I35" s="9" t="inlineStr">
        <x:is>
          <x:t xml:space="preserve">Data Engineer</x:t>
        </x:is>
      </x:c>
      <x:c r="J35" s="15" t="inlineStr">
        <x:is>
          <x:t xml:space="preserve">R</x:t>
        </x:is>
      </x:c>
      <x:c r="K35" s="15" t="inlineStr">
        <x:is>
          <x:t xml:space="preserve">P0</x:t>
        </x:is>
      </x:c>
      <x:c r="L35" s="15" t="inlineStr">
        <x:is>
          <x:t xml:space="preserve">Not Started</x:t>
        </x:is>
      </x:c>
      <x:c r="M35" s="16" t="n">
        <x:v>6</x:v>
      </x:c>
      <x:c r="N35" s="13" t="n">
        <x:v>8</x:v>
      </x:c>
      <x:c r="O35" s="13" t="n">
        <x:v>6</x:v>
      </x:c>
      <x:c r="P35" s="13">
        <x:f>O35+ROUNDUP(N35/Inputs!$B$4,0)-1</x:f>
        <x:v>7</x:v>
      </x:c>
      <x:c r="Q35" s="17">
        <x:f>Inputs!$B$3+(O35-1)*Inputs!$B$4</x:f>
        <x:v>46111</x:v>
      </x:c>
      <x:c r="R35" s="17">
        <x:f>Q35+N35-1</x:f>
        <x:v>46118</x:v>
      </x:c>
      <x:c r="S35" s="9" t="inlineStr">
        <x:is>
          <x:t xml:space="preserve">DSN-08,IMP-03</x:t>
        </x:is>
      </x:c>
      <x:c r="T35" s="15" t="inlineStr">
        <x:is>
          <x:t xml:space="preserve">N</x:t>
        </x:is>
      </x:c>
      <x:c r="U35" s="14" t="inlineStr">
        <x:is>
          <x:t xml:space="preserve"/>
        </x:is>
      </x:c>
    </x:row>
    <x:row r="36" ht="42" customHeight="1">
      <x:c r="A36" s="9" t="inlineStr">
        <x:is>
          <x:t xml:space="preserve">IMP-61</x:t>
        </x:is>
      </x:c>
      <x:c r="B36" s="9" t="inlineStr">
        <x:is>
          <x:t xml:space="preserve">Implementation</x:t>
        </x:is>
      </x:c>
      <x:c r="C36" s="9" t="inlineStr">
        <x:is>
          <x:t xml:space="preserve">Reliability</x:t>
        </x:is>
      </x:c>
      <x:c r="D36" s="13" t="n">
        <x:v>3</x:v>
      </x:c>
      <x:c r="E36" s="9" t="inlineStr">
        <x:is>
          <x:t xml:space="preserve">Idempotency</x:t>
        </x:is>
      </x:c>
      <x:c r="F36" s="9" t="inlineStr">
        <x:is>
          <x:t xml:space="preserve">Implement deduplication/idempotency strategy</x:t>
        </x:is>
      </x:c>
      <x:c r="G36" s="14" t="inlineStr">
        <x:is>
          <x:t xml:space="preserve">Implement payload hashing/record keys and merge strategy where needed; document per-source approach.</x:t>
        </x:is>
      </x:c>
      <x:c r="H36" s="14" t="inlineStr">
        <x:is>
          <x:t xml:space="preserve">Idempotency implemented</x:t>
        </x:is>
      </x:c>
      <x:c r="I36" s="9" t="inlineStr">
        <x:is>
          <x:t xml:space="preserve">Data Engineer</x:t>
        </x:is>
      </x:c>
      <x:c r="J36" s="15" t="inlineStr">
        <x:is>
          <x:t xml:space="preserve">R</x:t>
        </x:is>
      </x:c>
      <x:c r="K36" s="15" t="inlineStr">
        <x:is>
          <x:t xml:space="preserve">P0</x:t>
        </x:is>
      </x:c>
      <x:c r="L36" s="15" t="inlineStr">
        <x:is>
          <x:t xml:space="preserve">Not Started</x:t>
        </x:is>
      </x:c>
      <x:c r="M36" s="16" t="n">
        <x:v>4</x:v>
      </x:c>
      <x:c r="N36" s="13" t="n">
        <x:v>6</x:v>
      </x:c>
      <x:c r="O36" s="13" t="n">
        <x:v>6</x:v>
      </x:c>
      <x:c r="P36" s="13">
        <x:f>O36+ROUNDUP(N36/Inputs!$B$4,0)-1</x:f>
        <x:v>6</x:v>
      </x:c>
      <x:c r="Q36" s="17">
        <x:f>Inputs!$B$3+(O36-1)*Inputs!$B$4</x:f>
        <x:v>46111</x:v>
      </x:c>
      <x:c r="R36" s="17">
        <x:f>Q36+N36-1</x:f>
        <x:v>46116</x:v>
      </x:c>
      <x:c r="S36" s="9" t="inlineStr">
        <x:is>
          <x:t xml:space="preserve">IMP-14,IMP-10</x:t>
        </x:is>
      </x:c>
      <x:c r="T36" s="15" t="inlineStr">
        <x:is>
          <x:t xml:space="preserve">N</x:t>
        </x:is>
      </x:c>
      <x:c r="U36" s="14" t="inlineStr">
        <x:is>
          <x:t xml:space="preserve"/>
        </x:is>
      </x:c>
    </x:row>
    <x:row r="37" ht="42" customHeight="1">
      <x:c r="A37" s="9" t="inlineStr">
        <x:is>
          <x:t xml:space="preserve">IMP-23</x:t>
        </x:is>
      </x:c>
      <x:c r="B37" s="9" t="inlineStr">
        <x:is>
          <x:t xml:space="preserve">Implementation</x:t>
        </x:is>
      </x:c>
      <x:c r="C37" s="9" t="inlineStr">
        <x:is>
          <x:t xml:space="preserve">Observability</x:t>
        </x:is>
      </x:c>
      <x:c r="D37" s="13" t="n">
        <x:v>3</x:v>
      </x:c>
      <x:c r="E37" s="9" t="inlineStr">
        <x:is>
          <x:t xml:space="preserve">Dashboards</x:t>
        </x:is>
      </x:c>
      <x:c r="F37" s="9" t="inlineStr">
        <x:is>
          <x:t xml:space="preserve">Build Ops dashboard (runs, failures, lag, DLQ)</x:t>
        </x:is>
      </x:c>
      <x:c r="G37" s="14" t="inlineStr">
        <x:is>
          <x:t xml:space="preserve">Create dashboards in chosen tooling (DBSQL/Lakeview/etc.) for ops use.</x:t>
        </x:is>
      </x:c>
      <x:c r="H37" s="14" t="inlineStr">
        <x:is>
          <x:t xml:space="preserve">Ops dashboard v1</x:t>
        </x:is>
      </x:c>
      <x:c r="I37" s="9" t="inlineStr">
        <x:is>
          <x:t xml:space="preserve">SRE/Operations</x:t>
        </x:is>
      </x:c>
      <x:c r="J37" s="15" t="inlineStr">
        <x:is>
          <x:t xml:space="preserve">A</x:t>
        </x:is>
      </x:c>
      <x:c r="K37" s="15" t="inlineStr">
        <x:is>
          <x:t xml:space="preserve">P0</x:t>
        </x:is>
      </x:c>
      <x:c r="L37" s="15" t="inlineStr">
        <x:is>
          <x:t xml:space="preserve">Not Started</x:t>
        </x:is>
      </x:c>
      <x:c r="M37" s="16" t="n">
        <x:v>5</x:v>
      </x:c>
      <x:c r="N37" s="13" t="n">
        <x:v>6</x:v>
      </x:c>
      <x:c r="O37" s="13" t="n">
        <x:v>8</x:v>
      </x:c>
      <x:c r="P37" s="13">
        <x:f>O37+ROUNDUP(N37/Inputs!$B$4,0)-1</x:f>
        <x:v>8</x:v>
      </x:c>
      <x:c r="Q37" s="17">
        <x:f>Inputs!$B$3+(O37-1)*Inputs!$B$4</x:f>
        <x:v>46125</x:v>
      </x:c>
      <x:c r="R37" s="17">
        <x:f>Q37+N37-1</x:f>
        <x:v>46130</x:v>
      </x:c>
      <x:c r="S37" s="9" t="inlineStr">
        <x:is>
          <x:t xml:space="preserve">IMP-23</x:t>
        </x:is>
      </x:c>
      <x:c r="T37" s="15" t="inlineStr">
        <x:is>
          <x:t xml:space="preserve">N</x:t>
        </x:is>
      </x:c>
      <x:c r="U37" s="14" t="inlineStr">
        <x:is>
          <x:t xml:space="preserve"/>
        </x:is>
      </x:c>
    </x:row>
    <x:row r="38" ht="42" customHeight="1">
      <x:c r="A38" s="9" t="inlineStr">
        <x:is>
          <x:t xml:space="preserve">IMP-26</x:t>
        </x:is>
      </x:c>
      <x:c r="B38" s="9" t="inlineStr">
        <x:is>
          <x:t xml:space="preserve">Implementation</x:t>
        </x:is>
      </x:c>
      <x:c r="C38" s="9" t="inlineStr">
        <x:is>
          <x:t xml:space="preserve">Data Quality</x:t>
        </x:is>
      </x:c>
      <x:c r="D38" s="13" t="n">
        <x:v>3</x:v>
      </x:c>
      <x:c r="E38" s="9" t="inlineStr">
        <x:is>
          <x:t xml:space="preserve">DQ Framework</x:t>
        </x:is>
      </x:c>
      <x:c r="F38" s="9" t="inlineStr">
        <x:is>
          <x:t xml:space="preserve">Implement DQ rule engine (config-driven)</x:t>
        </x:is>
      </x:c>
      <x:c r="G38" s="14" t="inlineStr">
        <x:is>
          <x:t xml:space="preserve">Implement rules evaluation and results table, enforcement modes (warn/quarantine/fail).</x:t>
        </x:is>
      </x:c>
      <x:c r="H38" s="14" t="inlineStr">
        <x:is>
          <x:t xml:space="preserve">DQ engine v1</x:t>
        </x:is>
      </x:c>
      <x:c r="I38" s="9" t="inlineStr">
        <x:is>
          <x:t xml:space="preserve">Data Engineer</x:t>
        </x:is>
      </x:c>
      <x:c r="J38" s="15" t="inlineStr">
        <x:is>
          <x:t xml:space="preserve">R</x:t>
        </x:is>
      </x:c>
      <x:c r="K38" s="15" t="inlineStr">
        <x:is>
          <x:t xml:space="preserve">P1</x:t>
        </x:is>
      </x:c>
      <x:c r="L38" s="15" t="inlineStr">
        <x:is>
          <x:t xml:space="preserve">Not Started</x:t>
        </x:is>
      </x:c>
      <x:c r="M38" s="16" t="n">
        <x:v>7</x:v>
      </x:c>
      <x:c r="N38" s="13" t="n">
        <x:v>9</x:v>
      </x:c>
      <x:c r="O38" s="13" t="n">
        <x:v>8</x:v>
      </x:c>
      <x:c r="P38" s="13">
        <x:f>O38+ROUNDUP(N38/Inputs!$B$4,0)-1</x:f>
        <x:v>9</x:v>
      </x:c>
      <x:c r="Q38" s="17">
        <x:f>Inputs!$B$3+(O38-1)*Inputs!$B$4</x:f>
        <x:v>46125</x:v>
      </x:c>
      <x:c r="R38" s="17">
        <x:f>Q38+N38-1</x:f>
        <x:v>46133</x:v>
      </x:c>
      <x:c r="S38" s="9" t="inlineStr">
        <x:is>
          <x:t xml:space="preserve">DSN-10,IMP-03</x:t>
        </x:is>
      </x:c>
      <x:c r="T38" s="15" t="inlineStr">
        <x:is>
          <x:t xml:space="preserve">N</x:t>
        </x:is>
      </x:c>
      <x:c r="U38" s="14" t="inlineStr">
        <x:is>
          <x:t xml:space="preserve"/>
        </x:is>
      </x:c>
    </x:row>
    <x:row r="39" ht="42" customHeight="1">
      <x:c r="A39" s="9" t="inlineStr">
        <x:is>
          <x:t xml:space="preserve">IMP-62</x:t>
        </x:is>
      </x:c>
      <x:c r="B39" s="9" t="inlineStr">
        <x:is>
          <x:t xml:space="preserve">Implementation</x:t>
        </x:is>
      </x:c>
      <x:c r="C39" s="9" t="inlineStr">
        <x:is>
          <x:t xml:space="preserve">Operations</x:t>
        </x:is>
      </x:c>
      <x:c r="D39" s="13" t="n">
        <x:v>3</x:v>
      </x:c>
      <x:c r="E39" s="9" t="inlineStr">
        <x:is>
          <x:t xml:space="preserve">Tickets</x:t>
        </x:is>
      </x:c>
      <x:c r="F39" s="9" t="inlineStr">
        <x:is>
          <x:t xml:space="preserve">Set up ticket queues and templates (Incidents/Requests)</x:t>
        </x:is>
      </x:c>
      <x:c r="G39" s="14" t="inlineStr">
        <x:is>
          <x:t xml:space="preserve">Create Jira/ADO templates for incidents, backfill requests, onboarding requests and access reviews.</x:t>
        </x:is>
      </x:c>
      <x:c r="H39" s="14" t="inlineStr">
        <x:is>
          <x:t xml:space="preserve">Ticket templates live</x:t>
        </x:is>
      </x:c>
      <x:c r="I39" s="9" t="inlineStr">
        <x:is>
          <x:t xml:space="preserve">Product Owner</x:t>
        </x:is>
      </x:c>
      <x:c r="J39" s="15" t="inlineStr">
        <x:is>
          <x:t xml:space="preserve">A</x:t>
        </x:is>
      </x:c>
      <x:c r="K39" s="15" t="inlineStr">
        <x:is>
          <x:t xml:space="preserve">P2</x:t>
        </x:is>
      </x:c>
      <x:c r="L39" s="15" t="inlineStr">
        <x:is>
          <x:t xml:space="preserve">Not Started</x:t>
        </x:is>
      </x:c>
      <x:c r="M39" s="16" t="n">
        <x:v>2</x:v>
      </x:c>
      <x:c r="N39" s="13" t="n">
        <x:v>2</x:v>
      </x:c>
      <x:c r="O39" s="13" t="n">
        <x:v>8</x:v>
      </x:c>
      <x:c r="P39" s="13">
        <x:f>O39+ROUNDUP(N39/Inputs!$B$4,0)-1</x:f>
        <x:v>8</x:v>
      </x:c>
      <x:c r="Q39" s="17">
        <x:f>Inputs!$B$3+(O39-1)*Inputs!$B$4</x:f>
        <x:v>46125</x:v>
      </x:c>
      <x:c r="R39" s="17">
        <x:f>Q39+N39-1</x:f>
        <x:v>46126</x:v>
      </x:c>
      <x:c r="S39" s="9" t="inlineStr">
        <x:is>
          <x:t xml:space="preserve">PLY-02,PRC-02,PRC-06</x:t>
        </x:is>
      </x:c>
      <x:c r="T39" s="15" t="inlineStr">
        <x:is>
          <x:t xml:space="preserve">N</x:t>
        </x:is>
      </x:c>
      <x:c r="U39" s="14" t="inlineStr">
        <x:is>
          <x:t xml:space="preserve"/>
        </x:is>
      </x:c>
    </x:row>
    <x:row r="40" ht="42" customHeight="1">
      <x:c r="A40" s="9" t="inlineStr">
        <x:is>
          <x:t xml:space="preserve">IMP-24</x:t>
        </x:is>
      </x:c>
      <x:c r="B40" s="9" t="inlineStr">
        <x:is>
          <x:t xml:space="preserve">Implementation</x:t>
        </x:is>
      </x:c>
      <x:c r="C40" s="9" t="inlineStr">
        <x:is>
          <x:t xml:space="preserve">Observability</x:t>
        </x:is>
      </x:c>
      <x:c r="D40" s="13" t="n">
        <x:v>3</x:v>
      </x:c>
      <x:c r="E40" s="9" t="inlineStr">
        <x:is>
          <x:t xml:space="preserve">Dashboards</x:t>
        </x:is>
      </x:c>
      <x:c r="F40" s="9" t="inlineStr">
        <x:is>
          <x:t xml:space="preserve">Build Exec dashboard (SLO compliance, top offenders)</x:t>
        </x:is>
      </x:c>
      <x:c r="G40" s="14" t="inlineStr">
        <x:is>
          <x:t xml:space="preserve">High level view; includes tiering filters and trends.</x:t>
        </x:is>
      </x:c>
      <x:c r="H40" s="14" t="inlineStr">
        <x:is>
          <x:t xml:space="preserve">Exec dashboard v1</x:t>
        </x:is>
      </x:c>
      <x:c r="I40" s="9" t="inlineStr">
        <x:is>
          <x:t xml:space="preserve">Product Owner</x:t>
        </x:is>
      </x:c>
      <x:c r="J40" s="15" t="inlineStr">
        <x:is>
          <x:t xml:space="preserve">A</x:t>
        </x:is>
      </x:c>
      <x:c r="K40" s="15" t="inlineStr">
        <x:is>
          <x:t xml:space="preserve">P1</x:t>
        </x:is>
      </x:c>
      <x:c r="L40" s="15" t="inlineStr">
        <x:is>
          <x:t xml:space="preserve">Not Started</x:t>
        </x:is>
      </x:c>
      <x:c r="M40" s="16" t="n">
        <x:v>4</x:v>
      </x:c>
      <x:c r="N40" s="13" t="n">
        <x:v>5</x:v>
      </x:c>
      <x:c r="O40" s="13" t="n">
        <x:v>9</x:v>
      </x:c>
      <x:c r="P40" s="13">
        <x:f>O40+ROUNDUP(N40/Inputs!$B$4,0)-1</x:f>
        <x:v>9</x:v>
      </x:c>
      <x:c r="Q40" s="17">
        <x:f>Inputs!$B$3+(O40-1)*Inputs!$B$4</x:f>
        <x:v>46132</x:v>
      </x:c>
      <x:c r="R40" s="17">
        <x:f>Q40+N40-1</x:f>
        <x:v>46136</x:v>
      </x:c>
      <x:c r="S40" s="9" t="inlineStr">
        <x:is>
          <x:t xml:space="preserve">IMP-24,PLY-10</x:t>
        </x:is>
      </x:c>
      <x:c r="T40" s="15" t="inlineStr">
        <x:is>
          <x:t xml:space="preserve">N</x:t>
        </x:is>
      </x:c>
      <x:c r="U40" s="14" t="inlineStr">
        <x:is>
          <x:t xml:space="preserve"/>
        </x:is>
      </x:c>
    </x:row>
    <x:row r="41" ht="42" customHeight="1">
      <x:c r="A41" s="9" t="inlineStr">
        <x:is>
          <x:t xml:space="preserve">IMP-25</x:t>
        </x:is>
      </x:c>
      <x:c r="B41" s="9" t="inlineStr">
        <x:is>
          <x:t xml:space="preserve">Implementation</x:t>
        </x:is>
      </x:c>
      <x:c r="C41" s="9" t="inlineStr">
        <x:is>
          <x:t xml:space="preserve">Alerting</x:t>
        </x:is>
      </x:c>
      <x:c r="D41" s="13" t="n">
        <x:v>3</x:v>
      </x:c>
      <x:c r="E41" s="9" t="inlineStr">
        <x:is>
          <x:t xml:space="preserve">Alerts</x:t>
        </x:is>
      </x:c>
      <x:c r="F41" s="9" t="inlineStr">
        <x:is>
          <x:t xml:space="preserve">Implement alert rules + routing</x:t>
        </x:is>
      </x:c>
      <x:c r="G41" s="14" t="inlineStr">
        <x:is>
          <x:t xml:space="preserve">Create alert rules mapped to P0-P3; configure routing to on-call and owners.</x:t>
        </x:is>
      </x:c>
      <x:c r="H41" s="14" t="inlineStr">
        <x:is>
          <x:t xml:space="preserve">Alerts live</x:t>
        </x:is>
      </x:c>
      <x:c r="I41" s="9" t="inlineStr">
        <x:is>
          <x:t xml:space="preserve">SRE/Operations</x:t>
        </x:is>
      </x:c>
      <x:c r="J41" s="15" t="inlineStr">
        <x:is>
          <x:t xml:space="preserve">A</x:t>
        </x:is>
      </x:c>
      <x:c r="K41" s="15" t="inlineStr">
        <x:is>
          <x:t xml:space="preserve">P0</x:t>
        </x:is>
      </x:c>
      <x:c r="L41" s="15" t="inlineStr">
        <x:is>
          <x:t xml:space="preserve">Not Started</x:t>
        </x:is>
      </x:c>
      <x:c r="M41" s="16" t="n">
        <x:v>6</x:v>
      </x:c>
      <x:c r="N41" s="13" t="n">
        <x:v>7</x:v>
      </x:c>
      <x:c r="O41" s="13" t="n">
        <x:v>9</x:v>
      </x:c>
      <x:c r="P41" s="13">
        <x:f>O41+ROUNDUP(N41/Inputs!$B$4,0)-1</x:f>
        <x:v>9</x:v>
      </x:c>
      <x:c r="Q41" s="17">
        <x:f>Inputs!$B$3+(O41-1)*Inputs!$B$4</x:f>
        <x:v>46132</x:v>
      </x:c>
      <x:c r="R41" s="17">
        <x:f>Q41+N41-1</x:f>
        <x:v>46138</x:v>
      </x:c>
      <x:c r="S41" s="9" t="inlineStr">
        <x:is>
          <x:t xml:space="preserve">DSN-09,IMP-23</x:t>
        </x:is>
      </x:c>
      <x:c r="T41" s="15" t="inlineStr">
        <x:is>
          <x:t xml:space="preserve">N</x:t>
        </x:is>
      </x:c>
      <x:c r="U41" s="14" t="inlineStr">
        <x:is>
          <x:t xml:space="preserve"/>
        </x:is>
      </x:c>
    </x:row>
    <x:row r="42" ht="42" customHeight="1">
      <x:c r="A42" s="9" t="inlineStr">
        <x:is>
          <x:t xml:space="preserve">IMP-27</x:t>
        </x:is>
      </x:c>
      <x:c r="B42" s="9" t="inlineStr">
        <x:is>
          <x:t xml:space="preserve">Implementation</x:t>
        </x:is>
      </x:c>
      <x:c r="C42" s="9" t="inlineStr">
        <x:is>
          <x:t xml:space="preserve">DLQ/Replay</x:t>
        </x:is>
      </x:c>
      <x:c r="D42" s="13" t="n">
        <x:v>3</x:v>
      </x:c>
      <x:c r="E42" s="9" t="inlineStr">
        <x:is>
          <x:t xml:space="preserve">DLQ</x:t>
        </x:is>
      </x:c>
      <x:c r="F42" s="9" t="inlineStr">
        <x:is>
          <x:t xml:space="preserve">Implement DLQ tables + writer</x:t>
        </x:is>
      </x:c>
      <x:c r="G42" s="14" t="inlineStr">
        <x:is>
          <x:t xml:space="preserve">Write failing records and context to DLQ; link to runs/errors; retention.</x:t>
        </x:is>
      </x:c>
      <x:c r="H42" s="14" t="inlineStr">
        <x:is>
          <x:t xml:space="preserve">DLQ implemented</x:t>
        </x:is>
      </x:c>
      <x:c r="I42" s="9" t="inlineStr">
        <x:is>
          <x:t xml:space="preserve">Data Engineer</x:t>
        </x:is>
      </x:c>
      <x:c r="J42" s="15" t="inlineStr">
        <x:is>
          <x:t xml:space="preserve">R</x:t>
        </x:is>
      </x:c>
      <x:c r="K42" s="15" t="inlineStr">
        <x:is>
          <x:t xml:space="preserve">P1</x:t>
        </x:is>
      </x:c>
      <x:c r="L42" s="15" t="inlineStr">
        <x:is>
          <x:t xml:space="preserve">Not Started</x:t>
        </x:is>
      </x:c>
      <x:c r="M42" s="16" t="n">
        <x:v>5</x:v>
      </x:c>
      <x:c r="N42" s="13" t="n">
        <x:v>6</x:v>
      </x:c>
      <x:c r="O42" s="13" t="n">
        <x:v>9</x:v>
      </x:c>
      <x:c r="P42" s="13">
        <x:f>O42+ROUNDUP(N42/Inputs!$B$4,0)-1</x:f>
        <x:v>9</x:v>
      </x:c>
      <x:c r="Q42" s="17">
        <x:f>Inputs!$B$3+(O42-1)*Inputs!$B$4</x:f>
        <x:v>46132</x:v>
      </x:c>
      <x:c r="R42" s="17">
        <x:f>Q42+N42-1</x:f>
        <x:v>46137</x:v>
      </x:c>
      <x:c r="S42" s="9" t="inlineStr">
        <x:is>
          <x:t xml:space="preserve">DSN-11,IMP-27</x:t>
        </x:is>
      </x:c>
      <x:c r="T42" s="15" t="inlineStr">
        <x:is>
          <x:t xml:space="preserve">N</x:t>
        </x:is>
      </x:c>
      <x:c r="U42" s="14" t="inlineStr">
        <x:is>
          <x:t xml:space="preserve"/>
        </x:is>
      </x:c>
    </x:row>
    <x:row r="43" ht="42" customHeight="1">
      <x:c r="A43" s="9" t="inlineStr">
        <x:is>
          <x:t xml:space="preserve">IMP-29</x:t>
        </x:is>
      </x:c>
      <x:c r="B43" s="9" t="inlineStr">
        <x:is>
          <x:t xml:space="preserve">Implementation</x:t>
        </x:is>
      </x:c>
      <x:c r="C43" s="9" t="inlineStr">
        <x:is>
          <x:t xml:space="preserve">Schema Evolution</x:t>
        </x:is>
      </x:c>
      <x:c r="D43" s="13" t="n">
        <x:v>3</x:v>
      </x:c>
      <x:c r="E43" s="9" t="inlineStr">
        <x:is>
          <x:t xml:space="preserve">Schema Drift</x:t>
        </x:is>
      </x:c>
      <x:c r="F43" s="9" t="inlineStr">
        <x:is>
          <x:t xml:space="preserve">Implement schema drift detection</x:t>
        </x:is>
      </x:c>
      <x:c r="G43" s="14" t="inlineStr">
        <x:is>
          <x:t xml:space="preserve">Detect schema changes (add/remove/type), record versions, quarantine breaking changes.</x:t>
        </x:is>
      </x:c>
      <x:c r="H43" s="14" t="inlineStr">
        <x:is>
          <x:t xml:space="preserve">Schema drift detector v1</x:t>
        </x:is>
      </x:c>
      <x:c r="I43" s="9" t="inlineStr">
        <x:is>
          <x:t xml:space="preserve">Data Engineer</x:t>
        </x:is>
      </x:c>
      <x:c r="J43" s="15" t="inlineStr">
        <x:is>
          <x:t xml:space="preserve">R</x:t>
        </x:is>
      </x:c>
      <x:c r="K43" s="15" t="inlineStr">
        <x:is>
          <x:t xml:space="preserve">P1</x:t>
        </x:is>
      </x:c>
      <x:c r="L43" s="15" t="inlineStr">
        <x:is>
          <x:t xml:space="preserve">Not Started</x:t>
        </x:is>
      </x:c>
      <x:c r="M43" s="16" t="n">
        <x:v>6</x:v>
      </x:c>
      <x:c r="N43" s="13" t="n">
        <x:v>8</x:v>
      </x:c>
      <x:c r="O43" s="13" t="n">
        <x:v>9</x:v>
      </x:c>
      <x:c r="P43" s="13">
        <x:f>O43+ROUNDUP(N43/Inputs!$B$4,0)-1</x:f>
        <x:v>10</x:v>
      </x:c>
      <x:c r="Q43" s="17">
        <x:f>Inputs!$B$3+(O43-1)*Inputs!$B$4</x:f>
        <x:v>46132</x:v>
      </x:c>
      <x:c r="R43" s="17">
        <x:f>Q43+N43-1</x:f>
        <x:v>46139</x:v>
      </x:c>
      <x:c r="S43" s="9" t="inlineStr">
        <x:is>
          <x:t xml:space="preserve">DSN-12,IMP-14</x:t>
        </x:is>
      </x:c>
      <x:c r="T43" s="15" t="inlineStr">
        <x:is>
          <x:t xml:space="preserve">N</x:t>
        </x:is>
      </x:c>
      <x:c r="U43" s="14" t="inlineStr">
        <x:is>
          <x:t xml:space="preserve"/>
        </x:is>
      </x:c>
    </x:row>
    <x:row r="44" ht="42" customHeight="1">
      <x:c r="A44" s="9" t="inlineStr">
        <x:is>
          <x:t xml:space="preserve">IMP-30</x:t>
        </x:is>
      </x:c>
      <x:c r="B44" s="9" t="inlineStr">
        <x:is>
          <x:t xml:space="preserve">Implementation</x:t>
        </x:is>
      </x:c>
      <x:c r="C44" s="9" t="inlineStr">
        <x:is>
          <x:t xml:space="preserve">Lineage</x:t>
        </x:is>
      </x:c>
      <x:c r="D44" s="13" t="n">
        <x:v>3</x:v>
      </x:c>
      <x:c r="E44" s="9" t="inlineStr">
        <x:is>
          <x:t xml:space="preserve">Audit &amp; Lineage</x:t>
        </x:is>
      </x:c>
      <x:c r="F44" s="9" t="inlineStr">
        <x:is>
          <x:t xml:space="preserve">Implement audit logging tables and events</x:t>
        </x:is>
      </x:c>
      <x:c r="G44" s="14" t="inlineStr">
        <x:is>
          <x:t xml:space="preserve">Populate audit events: deploy versions, config versions, secret references, table writes.</x:t>
        </x:is>
      </x:c>
      <x:c r="H44" s="14" t="inlineStr">
        <x:is>
          <x:t xml:space="preserve">Audit logging v1</x:t>
        </x:is>
      </x:c>
      <x:c r="I44" s="9" t="inlineStr">
        <x:is>
          <x:t xml:space="preserve">Data Engineer</x:t>
        </x:is>
      </x:c>
      <x:c r="J44" s="15" t="inlineStr">
        <x:is>
          <x:t xml:space="preserve">R</x:t>
        </x:is>
      </x:c>
      <x:c r="K44" s="15" t="inlineStr">
        <x:is>
          <x:t xml:space="preserve">P1</x:t>
        </x:is>
      </x:c>
      <x:c r="L44" s="15" t="inlineStr">
        <x:is>
          <x:t xml:space="preserve">Not Started</x:t>
        </x:is>
      </x:c>
      <x:c r="M44" s="16" t="n">
        <x:v>5</x:v>
      </x:c>
      <x:c r="N44" s="13" t="n">
        <x:v>6</x:v>
      </x:c>
      <x:c r="O44" s="13" t="n">
        <x:v>10</x:v>
      </x:c>
      <x:c r="P44" s="13">
        <x:f>O44+ROUNDUP(N44/Inputs!$B$4,0)-1</x:f>
        <x:v>10</x:v>
      </x:c>
      <x:c r="Q44" s="17">
        <x:f>Inputs!$B$3+(O44-1)*Inputs!$B$4</x:f>
        <x:v>46139</x:v>
      </x:c>
      <x:c r="R44" s="17">
        <x:f>Q44+N44-1</x:f>
        <x:v>46144</x:v>
      </x:c>
      <x:c r="S44" s="9" t="inlineStr">
        <x:is>
          <x:t xml:space="preserve">DSN-13,IMP-23</x:t>
        </x:is>
      </x:c>
      <x:c r="T44" s="15" t="inlineStr">
        <x:is>
          <x:t xml:space="preserve">N</x:t>
        </x:is>
      </x:c>
      <x:c r="U44" s="14" t="inlineStr">
        <x:is>
          <x:t xml:space="preserve"/>
        </x:is>
      </x:c>
    </x:row>
    <x:row r="45" ht="42" customHeight="1">
      <x:c r="A45" s="18" t="inlineStr">
        <x:is>
          <x:t xml:space="preserve">IMP-58</x:t>
        </x:is>
      </x:c>
      <x:c r="B45" s="18" t="inlineStr">
        <x:is>
          <x:t xml:space="preserve">Implementation</x:t>
        </x:is>
      </x:c>
      <x:c r="C45" s="18" t="inlineStr">
        <x:is>
          <x:t xml:space="preserve">Observability</x:t>
        </x:is>
      </x:c>
      <x:c r="D45" s="19" t="n">
        <x:v>3</x:v>
      </x:c>
      <x:c r="E45" s="18" t="inlineStr">
        <x:is>
          <x:t xml:space="preserve">Go-live</x:t>
        </x:is>
      </x:c>
      <x:c r="F45" s="18" t="inlineStr">
        <x:is>
          <x:t xml:space="preserve">Observability framework go-live (dashboards + alerts)</x:t>
        </x:is>
      </x:c>
      <x:c r="G45" s="20" t="inlineStr">
        <x:is>
          <x:t xml:space="preserve">Go-live with dashboards, alerts, routing and runbooks; validate alert storms suppressed.</x:t>
        </x:is>
      </x:c>
      <x:c r="H45" s="20" t="inlineStr">
        <x:is>
          <x:t xml:space="preserve">Observability live</x:t>
        </x:is>
      </x:c>
      <x:c r="I45" s="18" t="inlineStr">
        <x:is>
          <x:t xml:space="preserve">SRE/Operations</x:t>
        </x:is>
      </x:c>
      <x:c r="J45" s="21" t="inlineStr">
        <x:is>
          <x:t xml:space="preserve">A</x:t>
        </x:is>
      </x:c>
      <x:c r="K45" s="21" t="inlineStr">
        <x:is>
          <x:t xml:space="preserve">P0</x:t>
        </x:is>
      </x:c>
      <x:c r="L45" s="21" t="inlineStr">
        <x:is>
          <x:t xml:space="preserve">Not Started</x:t>
        </x:is>
      </x:c>
      <x:c r="M45" s="22" t="n">
        <x:v>2</x:v>
      </x:c>
      <x:c r="N45" s="19" t="n">
        <x:v>2</x:v>
      </x:c>
      <x:c r="O45" s="19" t="n">
        <x:v>10</x:v>
      </x:c>
      <x:c r="P45" s="19">
        <x:f>O45+ROUNDUP(N45/Inputs!$B$4,0)-1</x:f>
        <x:v>10</x:v>
      </x:c>
      <x:c r="Q45" s="23">
        <x:f>Inputs!$B$3+(O45-1)*Inputs!$B$4</x:f>
        <x:v>46139</x:v>
      </x:c>
      <x:c r="R45" s="23">
        <x:f>Q45+N45-1</x:f>
        <x:v>46140</x:v>
      </x:c>
      <x:c r="S45" s="18" t="inlineStr">
        <x:is>
          <x:t xml:space="preserve">IMP-24,IMP-26,SOP-16</x:t>
        </x:is>
      </x:c>
      <x:c r="T45" s="21" t="inlineStr">
        <x:is>
          <x:t xml:space="preserve">Y</x:t>
        </x:is>
      </x:c>
      <x:c r="U45" s="20" t="inlineStr">
        <x:is>
          <x:t xml:space="preserve"/>
        </x:is>
      </x:c>
    </x:row>
    <x:row r="46" ht="42" customHeight="1">
      <x:c r="A46" s="9" t="inlineStr">
        <x:is>
          <x:t xml:space="preserve">IMP-31</x:t>
        </x:is>
      </x:c>
      <x:c r="B46" s="9" t="inlineStr">
        <x:is>
          <x:t xml:space="preserve">Implementation</x:t>
        </x:is>
      </x:c>
      <x:c r="C46" s="9" t="inlineStr">
        <x:is>
          <x:t xml:space="preserve">Lineage</x:t>
        </x:is>
      </x:c>
      <x:c r="D46" s="13" t="n">
        <x:v>3</x:v>
      </x:c>
      <x:c r="E46" s="9" t="inlineStr">
        <x:is>
          <x:t xml:space="preserve">Audit &amp; Lineage</x:t>
        </x:is>
      </x:c>
      <x:c r="F46" s="9" t="inlineStr">
        <x:is>
          <x:t xml:space="preserve">Enable UC lineage + validate critical flows</x:t>
        </x:is>
      </x:c>
      <x:c r="G46" s="14" t="inlineStr">
        <x:is>
          <x:t xml:space="preserve">Ensure pipelines register lineage; validate on key bronze tables; document limitations.</x:t>
        </x:is>
      </x:c>
      <x:c r="H46" s="14" t="inlineStr">
        <x:is>
          <x:t xml:space="preserve">Lineage enabled + validated</x:t>
        </x:is>
      </x:c>
      <x:c r="I46" s="9" t="inlineStr">
        <x:is>
          <x:t xml:space="preserve">Data Platform Architect</x:t>
        </x:is>
      </x:c>
      <x:c r="J46" s="15" t="inlineStr">
        <x:is>
          <x:t xml:space="preserve">A</x:t>
        </x:is>
      </x:c>
      <x:c r="K46" s="15" t="inlineStr">
        <x:is>
          <x:t xml:space="preserve">P2</x:t>
        </x:is>
      </x:c>
      <x:c r="L46" s="15" t="inlineStr">
        <x:is>
          <x:t xml:space="preserve">Not Started</x:t>
        </x:is>
      </x:c>
      <x:c r="M46" s="16" t="n">
        <x:v>3</x:v>
      </x:c>
      <x:c r="N46" s="13" t="n">
        <x:v>4</x:v>
      </x:c>
      <x:c r="O46" s="13" t="n">
        <x:v>11</x:v>
      </x:c>
      <x:c r="P46" s="13">
        <x:f>O46+ROUNDUP(N46/Inputs!$B$4,0)-1</x:f>
        <x:v>11</x:v>
      </x:c>
      <x:c r="Q46" s="17">
        <x:f>Inputs!$B$3+(O46-1)*Inputs!$B$4</x:f>
        <x:v>46146</x:v>
      </x:c>
      <x:c r="R46" s="17">
        <x:f>Q46+N46-1</x:f>
        <x:v>46149</x:v>
      </x:c>
      <x:c r="S46" s="9" t="inlineStr">
        <x:is>
          <x:t xml:space="preserve">IMP-32</x:t>
        </x:is>
      </x:c>
      <x:c r="T46" s="15" t="inlineStr">
        <x:is>
          <x:t xml:space="preserve">N</x:t>
        </x:is>
      </x:c>
      <x:c r="U46" s="14" t="inlineStr">
        <x:is>
          <x:t xml:space="preserve"/>
        </x:is>
      </x:c>
    </x:row>
    <x:row r="47" ht="42" customHeight="1">
      <x:c r="A47" s="9" t="inlineStr">
        <x:is>
          <x:t xml:space="preserve">IMP-60</x:t>
        </x:is>
      </x:c>
      <x:c r="B47" s="9" t="inlineStr">
        <x:is>
          <x:t xml:space="preserve">Implementation</x:t>
        </x:is>
      </x:c>
      <x:c r="C47" s="9" t="inlineStr">
        <x:is>
          <x:t xml:space="preserve">Schema Evolution</x:t>
        </x:is>
      </x:c>
      <x:c r="D47" s="13" t="n">
        <x:v>3</x:v>
      </x:c>
      <x:c r="E47" s="9" t="inlineStr">
        <x:is>
          <x:t xml:space="preserve">Policy Enforcement</x:t>
        </x:is>
      </x:c>
      <x:c r="F47" s="9" t="inlineStr">
        <x:is>
          <x:t xml:space="preserve">Implement schema quarantine pipeline</x:t>
        </x:is>
      </x:c>
      <x:c r="G47" s="14" t="inlineStr">
        <x:is>
          <x:t xml:space="preserve">When breaking changes detected, quarantine affected sources/endpoints and notify owners; allow override approvals.</x:t>
        </x:is>
      </x:c>
      <x:c r="H47" s="14" t="inlineStr">
        <x:is>
          <x:t xml:space="preserve">Schema quarantine workflow</x:t>
        </x:is>
      </x:c>
      <x:c r="I47" s="9" t="inlineStr">
        <x:is>
          <x:t xml:space="preserve">Data Engineer</x:t>
        </x:is>
      </x:c>
      <x:c r="J47" s="15" t="inlineStr">
        <x:is>
          <x:t xml:space="preserve">R</x:t>
        </x:is>
      </x:c>
      <x:c r="K47" s="15" t="inlineStr">
        <x:is>
          <x:t xml:space="preserve">P1</x:t>
        </x:is>
      </x:c>
      <x:c r="L47" s="15" t="inlineStr">
        <x:is>
          <x:t xml:space="preserve">Not Started</x:t>
        </x:is>
      </x:c>
      <x:c r="M47" s="16" t="n">
        <x:v>4</x:v>
      </x:c>
      <x:c r="N47" s="13" t="n">
        <x:v>5</x:v>
      </x:c>
      <x:c r="O47" s="13" t="n">
        <x:v>11</x:v>
      </x:c>
      <x:c r="P47" s="13">
        <x:f>O47+ROUNDUP(N47/Inputs!$B$4,0)-1</x:f>
        <x:v>11</x:v>
      </x:c>
      <x:c r="Q47" s="17">
        <x:f>Inputs!$B$3+(O47-1)*Inputs!$B$4</x:f>
        <x:v>46146</x:v>
      </x:c>
      <x:c r="R47" s="17">
        <x:f>Q47+N47-1</x:f>
        <x:v>46150</x:v>
      </x:c>
      <x:c r="S47" s="9" t="inlineStr">
        <x:is>
          <x:t xml:space="preserve">IMP-31,IMP-26</x:t>
        </x:is>
      </x:c>
      <x:c r="T47" s="15" t="inlineStr">
        <x:is>
          <x:t xml:space="preserve">N</x:t>
        </x:is>
      </x:c>
      <x:c r="U47" s="14" t="inlineStr">
        <x:is>
          <x:t xml:space="preserve"/>
        </x:is>
      </x:c>
    </x:row>
    <x:row r="48" ht="42" customHeight="1">
      <x:c r="A48" s="9" t="inlineStr">
        <x:is>
          <x:t xml:space="preserve">IMP-59</x:t>
        </x:is>
      </x:c>
      <x:c r="B48" s="9" t="inlineStr">
        <x:is>
          <x:t xml:space="preserve">Implementation</x:t>
        </x:is>
      </x:c>
      <x:c r="C48" s="9" t="inlineStr">
        <x:is>
          <x:t xml:space="preserve">Governance</x:t>
        </x:is>
      </x:c>
      <x:c r="D48" s="13" t="n">
        <x:v>4</x:v>
      </x:c>
      <x:c r="E48" s="9" t="inlineStr">
        <x:is>
          <x:t xml:space="preserve">Onboarding</x:t>
        </x:is>
      </x:c>
      <x:c r="F48" s="9" t="inlineStr">
        <x:is>
          <x:t xml:space="preserve">Implement source intake form (template + storage)</x:t>
        </x:is>
      </x:c>
      <x:c r="G48" s="14" t="inlineStr">
        <x:is>
          <x:t xml:space="preserve">Create standardized intake form (Confluence/Sharepoint) and storage; link into onboarding process.</x:t>
        </x:is>
      </x:c>
      <x:c r="H48" s="14" t="inlineStr">
        <x:is>
          <x:t xml:space="preserve">Intake form published</x:t>
        </x:is>
      </x:c>
      <x:c r="I48" s="9" t="inlineStr">
        <x:is>
          <x:t xml:space="preserve">Product Owner</x:t>
        </x:is>
      </x:c>
      <x:c r="J48" s="15" t="inlineStr">
        <x:is>
          <x:t xml:space="preserve">A</x:t>
        </x:is>
      </x:c>
      <x:c r="K48" s="15" t="inlineStr">
        <x:is>
          <x:t xml:space="preserve">P1</x:t>
        </x:is>
      </x:c>
      <x:c r="L48" s="15" t="inlineStr">
        <x:is>
          <x:t xml:space="preserve">Not Started</x:t>
        </x:is>
      </x:c>
      <x:c r="M48" s="16" t="n">
        <x:v>2</x:v>
      </x:c>
      <x:c r="N48" s="13" t="n">
        <x:v>2</x:v>
      </x:c>
      <x:c r="O48" s="13" t="n">
        <x:v>7</x:v>
      </x:c>
      <x:c r="P48" s="13">
        <x:f>O48+ROUNDUP(N48/Inputs!$B$4,0)-1</x:f>
        <x:v>7</x:v>
      </x:c>
      <x:c r="Q48" s="17">
        <x:f>Inputs!$B$3+(O48-1)*Inputs!$B$4</x:f>
        <x:v>46118</x:v>
      </x:c>
      <x:c r="R48" s="17">
        <x:f>Q48+N48-1</x:f>
        <x:v>46119</x:v>
      </x:c>
      <x:c r="S48" s="9" t="inlineStr">
        <x:is>
          <x:t xml:space="preserve">PRC-06,SOP-21</x:t>
        </x:is>
      </x:c>
      <x:c r="T48" s="15" t="inlineStr">
        <x:is>
          <x:t xml:space="preserve">N</x:t>
        </x:is>
      </x:c>
      <x:c r="U48" s="14" t="inlineStr">
        <x:is>
          <x:t xml:space="preserve"/>
        </x:is>
      </x:c>
    </x:row>
    <x:row r="49" ht="42" customHeight="1">
      <x:c r="A49" s="18" t="inlineStr">
        <x:is>
          <x:t xml:space="preserve">IMP-39</x:t>
        </x:is>
      </x:c>
      <x:c r="B49" s="18" t="inlineStr">
        <x:is>
          <x:t xml:space="preserve">Implementation</x:t>
        </x:is>
      </x:c>
      <x:c r="C49" s="18" t="inlineStr">
        <x:is>
          <x:t xml:space="preserve">Pilot</x:t>
        </x:is>
      </x:c>
      <x:c r="D49" s="19" t="n">
        <x:v>4</x:v>
      </x:c>
      <x:c r="E49" s="18" t="inlineStr">
        <x:is>
          <x:t xml:space="preserve">Pilot Onboarding</x:t>
        </x:is>
      </x:c>
      <x:c r="F49" s="18" t="inlineStr">
        <x:is>
          <x:t xml:space="preserve">Pilot onboarding - Source 1–3 (mixed auth)</x:t>
        </x:is>
      </x:c>
      <x:c r="G49" s="20" t="inlineStr">
        <x:is>
          <x:t xml:space="preserve">Onboard first set of sources covering API key and OAuth2 patterns; verify SLOs and runbooks.</x:t>
        </x:is>
      </x:c>
      <x:c r="H49" s="20" t="inlineStr">
        <x:is>
          <x:t xml:space="preserve">3 pilot sources in prod</x:t>
        </x:is>
      </x:c>
      <x:c r="I49" s="18" t="inlineStr">
        <x:is>
          <x:t xml:space="preserve">Data Engineer</x:t>
        </x:is>
      </x:c>
      <x:c r="J49" s="21" t="inlineStr">
        <x:is>
          <x:t xml:space="preserve">R</x:t>
        </x:is>
      </x:c>
      <x:c r="K49" s="21" t="inlineStr">
        <x:is>
          <x:t xml:space="preserve">P0</x:t>
        </x:is>
      </x:c>
      <x:c r="L49" s="21" t="inlineStr">
        <x:is>
          <x:t xml:space="preserve">Not Started</x:t>
        </x:is>
      </x:c>
      <x:c r="M49" s="22" t="n">
        <x:v>10</x:v>
      </x:c>
      <x:c r="N49" s="19" t="n">
        <x:v>10</x:v>
      </x:c>
      <x:c r="O49" s="19" t="n">
        <x:v>9</x:v>
      </x:c>
      <x:c r="P49" s="19">
        <x:f>O49+ROUNDUP(N49/Inputs!$B$4,0)-1</x:f>
        <x:v>10</x:v>
      </x:c>
      <x:c r="Q49" s="23">
        <x:f>Inputs!$B$3+(O49-1)*Inputs!$B$4</x:f>
        <x:v>46132</x:v>
      </x:c>
      <x:c r="R49" s="23">
        <x:f>Q49+N49-1</x:f>
        <x:v>46141</x:v>
      </x:c>
      <x:c r="S49" s="18" t="inlineStr">
        <x:is>
          <x:t xml:space="preserve">IMP-21,IMP-07,IMP-23,IMP-24</x:t>
        </x:is>
      </x:c>
      <x:c r="T49" s="21" t="inlineStr">
        <x:is>
          <x:t xml:space="preserve">Y</x:t>
        </x:is>
      </x:c>
      <x:c r="U49" s="20" t="inlineStr">
        <x:is>
          <x:t xml:space="preserve"/>
        </x:is>
      </x:c>
    </x:row>
    <x:row r="50" ht="42" customHeight="1">
      <x:c r="A50" s="9" t="inlineStr">
        <x:is>
          <x:t xml:space="preserve">IMP-28</x:t>
        </x:is>
      </x:c>
      <x:c r="B50" s="9" t="inlineStr">
        <x:is>
          <x:t xml:space="preserve">Implementation</x:t>
        </x:is>
      </x:c>
      <x:c r="C50" s="9" t="inlineStr">
        <x:is>
          <x:t xml:space="preserve">DLQ/Replay</x:t>
        </x:is>
      </x:c>
      <x:c r="D50" s="13" t="n">
        <x:v>4</x:v>
      </x:c>
      <x:c r="E50" s="9" t="inlineStr">
        <x:is>
          <x:t xml:space="preserve">Replay</x:t>
        </x:is>
      </x:c>
      <x:c r="F50" s="9" t="inlineStr">
        <x:is>
          <x:t xml:space="preserve">Implement replay tooling (by run_id/window/DLQ)</x:t>
        </x:is>
      </x:c>
      <x:c r="G50" s="14" t="inlineStr">
        <x:is>
          <x:t xml:space="preserve">Jobs/notebooks for safe replay; ensure idempotency; capture evidence.</x:t>
        </x:is>
      </x:c>
      <x:c r="H50" s="14" t="inlineStr">
        <x:is>
          <x:t xml:space="preserve">Replay tooling</x:t>
        </x:is>
      </x:c>
      <x:c r="I50" s="9" t="inlineStr">
        <x:is>
          <x:t xml:space="preserve">Data Engineer</x:t>
        </x:is>
      </x:c>
      <x:c r="J50" s="15" t="inlineStr">
        <x:is>
          <x:t xml:space="preserve">R</x:t>
        </x:is>
      </x:c>
      <x:c r="K50" s="15" t="inlineStr">
        <x:is>
          <x:t xml:space="preserve">P1</x:t>
        </x:is>
      </x:c>
      <x:c r="L50" s="15" t="inlineStr">
        <x:is>
          <x:t xml:space="preserve">Not Started</x:t>
        </x:is>
      </x:c>
      <x:c r="M50" s="16" t="n">
        <x:v>5</x:v>
      </x:c>
      <x:c r="N50" s="13" t="n">
        <x:v>6</x:v>
      </x:c>
      <x:c r="O50" s="13" t="n">
        <x:v>10</x:v>
      </x:c>
      <x:c r="P50" s="13">
        <x:f>O50+ROUNDUP(N50/Inputs!$B$4,0)-1</x:f>
        <x:v>10</x:v>
      </x:c>
      <x:c r="Q50" s="17">
        <x:f>Inputs!$B$3+(O50-1)*Inputs!$B$4</x:f>
        <x:v>46139</x:v>
      </x:c>
      <x:c r="R50" s="17">
        <x:f>Q50+N50-1</x:f>
        <x:v>46144</x:v>
      </x:c>
      <x:c r="S50" s="9" t="inlineStr">
        <x:is>
          <x:t xml:space="preserve">IMP-28,IMP-10</x:t>
        </x:is>
      </x:c>
      <x:c r="T50" s="15" t="inlineStr">
        <x:is>
          <x:t xml:space="preserve">N</x:t>
        </x:is>
      </x:c>
      <x:c r="U50" s="14" t="inlineStr">
        <x:is>
          <x:t xml:space="preserve"/>
        </x:is>
      </x:c>
    </x:row>
    <x:row r="51" ht="42" customHeight="1">
      <x:c r="A51" s="9" t="inlineStr">
        <x:is>
          <x:t xml:space="preserve">IMP-40</x:t>
        </x:is>
      </x:c>
      <x:c r="B51" s="9" t="inlineStr">
        <x:is>
          <x:t xml:space="preserve">Implementation</x:t>
        </x:is>
      </x:c>
      <x:c r="C51" s="9" t="inlineStr">
        <x:is>
          <x:t xml:space="preserve">Pilot</x:t>
        </x:is>
      </x:c>
      <x:c r="D51" s="13" t="n">
        <x:v>4</x:v>
      </x:c>
      <x:c r="E51" s="9" t="inlineStr">
        <x:is>
          <x:t xml:space="preserve">Pilot Onboarding</x:t>
        </x:is>
      </x:c>
      <x:c r="F51" s="9" t="inlineStr">
        <x:is>
          <x:t xml:space="preserve">Pilot onboarding - Source 4–8 (pagination + rate limits)</x:t>
        </x:is>
      </x:c>
      <x:c r="G51" s="14" t="inlineStr">
        <x:is>
          <x:t xml:space="preserve">Onboard sources with complex pagination and strict rate limits; tune throttling; validate alerts.</x:t>
        </x:is>
      </x:c>
      <x:c r="H51" s="14" t="inlineStr">
        <x:is>
          <x:t xml:space="preserve">8 pilot sources total</x:t>
        </x:is>
      </x:c>
      <x:c r="I51" s="9" t="inlineStr">
        <x:is>
          <x:t xml:space="preserve">Data Engineer</x:t>
        </x:is>
      </x:c>
      <x:c r="J51" s="15" t="inlineStr">
        <x:is>
          <x:t xml:space="preserve">R</x:t>
        </x:is>
      </x:c>
      <x:c r="K51" s="15" t="inlineStr">
        <x:is>
          <x:t xml:space="preserve">P0</x:t>
        </x:is>
      </x:c>
      <x:c r="L51" s="15" t="inlineStr">
        <x:is>
          <x:t xml:space="preserve">Not Started</x:t>
        </x:is>
      </x:c>
      <x:c r="M51" s="16" t="n">
        <x:v>12</x:v>
      </x:c>
      <x:c r="N51" s="13" t="n">
        <x:v>12</x:v>
      </x:c>
      <x:c r="O51" s="13" t="n">
        <x:v>10</x:v>
      </x:c>
      <x:c r="P51" s="13">
        <x:f>O51+ROUNDUP(N51/Inputs!$B$4,0)-1</x:f>
      </x:c>
      <x:c r="Q51" s="17">
        <x:f>Inputs!$B$3+(O51-1)*Inputs!$B$4</x:f>
      </x:c>
      <x:c r="R51" s="17">
        <x:f>Q51+N51-1</x:f>
      </x:c>
      <x:c r="S51" s="9" t="inlineStr">
        <x:is>
          <x:t xml:space="preserve">IMP-42,IMP-26</x:t>
        </x:is>
      </x:c>
      <x:c r="T51" s="15" t="inlineStr">
        <x:is>
          <x:t xml:space="preserve">N</x:t>
        </x:is>
      </x:c>
      <x:c r="U51" s="14" t="inlineStr">
        <x:is>
          <x:t xml:space="preserve"/>
        </x:is>
      </x:c>
    </x:row>
    <x:row r="52" ht="42" customHeight="1">
      <x:c r="A52" s="9" t="inlineStr">
        <x:is>
          <x:t xml:space="preserve">IMP-42</x:t>
        </x:is>
      </x:c>
      <x:c r="B52" s="9" t="inlineStr">
        <x:is>
          <x:t xml:space="preserve">Implementation</x:t>
        </x:is>
      </x:c>
      <x:c r="C52" s="9" t="inlineStr">
        <x:is>
          <x:t xml:space="preserve">Testing</x:t>
        </x:is>
      </x:c>
      <x:c r="D52" s="13" t="n">
        <x:v>4</x:v>
      </x:c>
      <x:c r="E52" s="9" t="inlineStr">
        <x:is>
          <x:t xml:space="preserve">Contract Tests</x:t>
        </x:is>
      </x:c>
      <x:c r="F52" s="9" t="inlineStr">
        <x:is>
          <x:t xml:space="preserve">Implement contract tests for pilot APIs</x:t>
        </x:is>
      </x:c>
      <x:c r="G52" s="14" t="inlineStr">
        <x:is>
          <x:t xml:space="preserve">Create schema/response contract tests for pilot sources; schedule daily checks in non-prod.</x:t>
        </x:is>
      </x:c>
      <x:c r="H52" s="14" t="inlineStr">
        <x:is>
          <x:t xml:space="preserve">Pilot contract tests</x:t>
        </x:is>
      </x:c>
      <x:c r="I52" s="9" t="inlineStr">
        <x:is>
          <x:t xml:space="preserve">QA/Test</x:t>
        </x:is>
      </x:c>
      <x:c r="J52" s="15" t="inlineStr">
        <x:is>
          <x:t xml:space="preserve">A</x:t>
        </x:is>
      </x:c>
      <x:c r="K52" s="15" t="inlineStr">
        <x:is>
          <x:t xml:space="preserve">P1</x:t>
        </x:is>
      </x:c>
      <x:c r="L52" s="15" t="inlineStr">
        <x:is>
          <x:t xml:space="preserve">Not Started</x:t>
        </x:is>
      </x:c>
      <x:c r="M52" s="16" t="n">
        <x:v>6</x:v>
      </x:c>
      <x:c r="N52" s="13" t="n">
        <x:v>8</x:v>
      </x:c>
      <x:c r="O52" s="13" t="n">
        <x:v>10</x:v>
      </x:c>
      <x:c r="P52" s="13">
        <x:f>O52+ROUNDUP(N52/Inputs!$B$4,0)-1</x:f>
      </x:c>
      <x:c r="Q52" s="17">
        <x:f>Inputs!$B$3+(O52-1)*Inputs!$B$4</x:f>
      </x:c>
      <x:c r="R52" s="17">
        <x:f>Q52+N52-1</x:f>
      </x:c>
      <x:c r="S52" s="9" t="inlineStr">
        <x:is>
          <x:t xml:space="preserve">IMP-22,IMP-43</x:t>
        </x:is>
      </x:c>
      <x:c r="T52" s="15" t="inlineStr">
        <x:is>
          <x:t xml:space="preserve">N</x:t>
        </x:is>
      </x:c>
      <x:c r="U52" s="14" t="inlineStr">
        <x:is>
          <x:t xml:space="preserve"/>
        </x:is>
      </x:c>
    </x:row>
    <x:row r="53" ht="42" customHeight="1">
      <x:c r="A53" s="18" t="inlineStr">
        <x:is>
          <x:t xml:space="preserve">IMP-41</x:t>
        </x:is>
      </x:c>
      <x:c r="B53" s="18" t="inlineStr">
        <x:is>
          <x:t xml:space="preserve">Implementation</x:t>
        </x:is>
      </x:c>
      <x:c r="C53" s="18" t="inlineStr">
        <x:is>
          <x:t xml:space="preserve">Pilot</x:t>
        </x:is>
      </x:c>
      <x:c r="D53" s="19" t="n">
        <x:v>4</x:v>
      </x:c>
      <x:c r="E53" s="18" t="inlineStr">
        <x:is>
          <x:t xml:space="preserve">Pilot Validation</x:t>
        </x:is>
      </x:c>
      <x:c r="F53" s="18" t="inlineStr">
        <x:is>
          <x:t xml:space="preserve">Pilot stabilization period (2 weeks)</x:t>
        </x:is>
      </x:c>
      <x:c r="G53" s="20" t="inlineStr">
        <x:is>
          <x:t xml:space="preserve">Operate pilot with on-call processes; fix defects; finalize templates and thresholds.</x:t>
        </x:is>
      </x:c>
      <x:c r="H53" s="20" t="inlineStr">
        <x:is>
          <x:t xml:space="preserve">Pilot stability report</x:t>
        </x:is>
      </x:c>
      <x:c r="I53" s="18" t="inlineStr">
        <x:is>
          <x:t xml:space="preserve">SRE/Operations</x:t>
        </x:is>
      </x:c>
      <x:c r="J53" s="21" t="inlineStr">
        <x:is>
          <x:t xml:space="preserve">A</x:t>
        </x:is>
      </x:c>
      <x:c r="K53" s="21" t="inlineStr">
        <x:is>
          <x:t xml:space="preserve">P0</x:t>
        </x:is>
      </x:c>
      <x:c r="L53" s="21" t="inlineStr">
        <x:is>
          <x:t xml:space="preserve">Not Started</x:t>
        </x:is>
      </x:c>
      <x:c r="M53" s="22" t="n">
        <x:v>8</x:v>
      </x:c>
      <x:c r="N53" s="19" t="n">
        <x:v>10</x:v>
      </x:c>
      <x:c r="O53" s="19" t="n">
        <x:v>11</x:v>
      </x:c>
      <x:c r="P53" s="19">
        <x:f>O53+ROUNDUP(N53/Inputs!$B$4,0)-1</x:f>
      </x:c>
      <x:c r="Q53" s="23">
        <x:f>Inputs!$B$3+(O53-1)*Inputs!$B$4</x:f>
      </x:c>
      <x:c r="R53" s="23">
        <x:f>Q53+N53-1</x:f>
      </x:c>
      <x:c r="S53" s="18" t="inlineStr">
        <x:is>
          <x:t xml:space="preserve">IMP-43</x:t>
        </x:is>
      </x:c>
      <x:c r="T53" s="21" t="inlineStr">
        <x:is>
          <x:t xml:space="preserve">Y</x:t>
        </x:is>
      </x:c>
      <x:c r="U53" s="20" t="inlineStr">
        <x:is>
          <x:t xml:space="preserve"/>
        </x:is>
      </x:c>
    </x:row>
    <x:row r="54" ht="42" customHeight="1">
      <x:c r="A54" s="9" t="inlineStr">
        <x:is>
          <x:t xml:space="preserve">IMP-45</x:t>
        </x:is>
      </x:c>
      <x:c r="B54" s="9" t="inlineStr">
        <x:is>
          <x:t xml:space="preserve">Implementation</x:t>
        </x:is>
      </x:c>
      <x:c r="C54" s="9" t="inlineStr">
        <x:is>
          <x:t xml:space="preserve">Scale-out</x:t>
        </x:is>
      </x:c>
      <x:c r="D54" s="13" t="n">
        <x:v>5</x:v>
      </x:c>
      <x:c r="E54" s="9" t="inlineStr">
        <x:is>
          <x:t xml:space="preserve">Wave 1</x:t>
        </x:is>
      </x:c>
      <x:c r="F54" s="9" t="inlineStr">
        <x:is>
          <x:t xml:space="preserve">Wave 1 onboarding (20 APIs)</x:t>
        </x:is>
      </x:c>
      <x:c r="G54" s="14" t="inlineStr">
        <x:is>
          <x:t xml:space="preserve">Onboard next 20 standard-pattern APIs using templates; measure throughput and incident rate.</x:t>
        </x:is>
      </x:c>
      <x:c r="H54" s="14" t="inlineStr">
        <x:is>
          <x:t xml:space="preserve">20 new APIs live</x:t>
        </x:is>
      </x:c>
      <x:c r="I54" s="9" t="inlineStr">
        <x:is>
          <x:t xml:space="preserve">Data Engineer</x:t>
        </x:is>
      </x:c>
      <x:c r="J54" s="15" t="inlineStr">
        <x:is>
          <x:t xml:space="preserve">R</x:t>
        </x:is>
      </x:c>
      <x:c r="K54" s="15" t="inlineStr">
        <x:is>
          <x:t xml:space="preserve">P1</x:t>
        </x:is>
      </x:c>
      <x:c r="L54" s="15" t="inlineStr">
        <x:is>
          <x:t xml:space="preserve">Not Started</x:t>
        </x:is>
      </x:c>
      <x:c r="M54" s="16" t="n">
        <x:v>20</x:v>
      </x:c>
      <x:c r="N54" s="13" t="n">
        <x:v>10</x:v>
      </x:c>
      <x:c r="O54" s="13" t="n">
        <x:v>14</x:v>
      </x:c>
      <x:c r="P54" s="13">
        <x:f>O54+ROUNDUP(N54/Inputs!$B$4,0)-1</x:f>
      </x:c>
      <x:c r="Q54" s="17">
        <x:f>Inputs!$B$3+(O54-1)*Inputs!$B$4</x:f>
      </x:c>
      <x:c r="R54" s="17">
        <x:f>Q54+N54-1</x:f>
      </x:c>
      <x:c r="S54" s="9" t="inlineStr">
        <x:is>
          <x:t xml:space="preserve">IMP-44,DSN-19</x:t>
        </x:is>
      </x:c>
      <x:c r="T54" s="15" t="inlineStr">
        <x:is>
          <x:t xml:space="preserve">N</x:t>
        </x:is>
      </x:c>
      <x:c r="U54" s="14" t="inlineStr">
        <x:is>
          <x:t xml:space="preserve"/>
        </x:is>
      </x:c>
    </x:row>
    <x:row r="55" ht="42" customHeight="1">
      <x:c r="A55" s="9" t="inlineStr">
        <x:is>
          <x:t xml:space="preserve">IMP-46</x:t>
        </x:is>
      </x:c>
      <x:c r="B55" s="9" t="inlineStr">
        <x:is>
          <x:t xml:space="preserve">Implementation</x:t>
        </x:is>
      </x:c>
      <x:c r="C55" s="9" t="inlineStr">
        <x:is>
          <x:t xml:space="preserve">Scale-out</x:t>
        </x:is>
      </x:c>
      <x:c r="D55" s="13" t="n">
        <x:v>5</x:v>
      </x:c>
      <x:c r="E55" s="9" t="inlineStr">
        <x:is>
          <x:t xml:space="preserve">Wave 1</x:t>
        </x:is>
      </x:c>
      <x:c r="F55" s="9" t="inlineStr">
        <x:is>
          <x:t xml:space="preserve">Wave 1 retrospectives + template improvements</x:t>
        </x:is>
      </x:c>
      <x:c r="G55" s="14" t="inlineStr">
        <x:is>
          <x:t xml:space="preserve">Review onboarding pain points; improve templates, docs, dashboards; tune defaults.</x:t>
        </x:is>
      </x:c>
      <x:c r="H55" s="14" t="inlineStr">
        <x:is>
          <x:t xml:space="preserve">Improvement backlog + releases</x:t>
        </x:is>
      </x:c>
      <x:c r="I55" s="9" t="inlineStr">
        <x:is>
          <x:t xml:space="preserve">Data Platform Architect</x:t>
        </x:is>
      </x:c>
      <x:c r="J55" s="15" t="inlineStr">
        <x:is>
          <x:t xml:space="preserve">A</x:t>
        </x:is>
      </x:c>
      <x:c r="K55" s="15" t="inlineStr">
        <x:is>
          <x:t xml:space="preserve">P2</x:t>
        </x:is>
      </x:c>
      <x:c r="L55" s="15" t="inlineStr">
        <x:is>
          <x:t xml:space="preserve">Not Started</x:t>
        </x:is>
      </x:c>
      <x:c r="M55" s="16" t="n">
        <x:v>5</x:v>
      </x:c>
      <x:c r="N55" s="13" t="n">
        <x:v>5</x:v>
      </x:c>
      <x:c r="O55" s="13" t="n">
        <x:v>16</x:v>
      </x:c>
      <x:c r="P55" s="13">
        <x:f>O55+ROUNDUP(N55/Inputs!$B$4,0)-1</x:f>
      </x:c>
      <x:c r="Q55" s="17">
        <x:f>Inputs!$B$3+(O55-1)*Inputs!$B$4</x:f>
      </x:c>
      <x:c r="R55" s="17">
        <x:f>Q55+N55-1</x:f>
      </x:c>
      <x:c r="S55" s="9" t="inlineStr">
        <x:is>
          <x:t xml:space="preserve">IMP-49</x:t>
        </x:is>
      </x:c>
      <x:c r="T55" s="15" t="inlineStr">
        <x:is>
          <x:t xml:space="preserve">N</x:t>
        </x:is>
      </x:c>
      <x:c r="U55" s="14" t="inlineStr">
        <x:is>
          <x:t xml:space="preserve"/>
        </x:is>
      </x:c>
    </x:row>
    <x:row r="56" ht="42" customHeight="1">
      <x:c r="A56" s="9" t="inlineStr">
        <x:is>
          <x:t xml:space="preserve">IMP-50</x:t>
        </x:is>
      </x:c>
      <x:c r="B56" s="9" t="inlineStr">
        <x:is>
          <x:t xml:space="preserve">Implementation</x:t>
        </x:is>
      </x:c>
      <x:c r="C56" s="9" t="inlineStr">
        <x:is>
          <x:t xml:space="preserve">Scale-out</x:t>
        </x:is>
      </x:c>
      <x:c r="D56" s="13" t="n">
        <x:v>5</x:v>
      </x:c>
      <x:c r="E56" s="9" t="inlineStr">
        <x:is>
          <x:t xml:space="preserve">Automation</x:t>
        </x:is>
      </x:c>
      <x:c r="F56" s="9" t="inlineStr">
        <x:is>
          <x:t xml:space="preserve">Build bulk onboarding helper (config generator)</x:t>
        </x:is>
      </x:c>
      <x:c r="G56" s="14" t="inlineStr">
        <x:is>
          <x:t xml:space="preserve">Tooling (notebook/UI) to generate validated configs and vendor profiles from intake forms.</x:t>
        </x:is>
      </x:c>
      <x:c r="H56" s="14" t="inlineStr">
        <x:is>
          <x:t xml:space="preserve">Bulk onboarding tool</x:t>
        </x:is>
      </x:c>
      <x:c r="I56" s="9" t="inlineStr">
        <x:is>
          <x:t xml:space="preserve">Data Engineer</x:t>
        </x:is>
      </x:c>
      <x:c r="J56" s="15" t="inlineStr">
        <x:is>
          <x:t xml:space="preserve">R</x:t>
        </x:is>
      </x:c>
      <x:c r="K56" s="15" t="inlineStr">
        <x:is>
          <x:t xml:space="preserve">P2</x:t>
        </x:is>
      </x:c>
      <x:c r="L56" s="15" t="inlineStr">
        <x:is>
          <x:t xml:space="preserve">Not Started</x:t>
        </x:is>
      </x:c>
      <x:c r="M56" s="16" t="n">
        <x:v>8</x:v>
      </x:c>
      <x:c r="N56" s="13" t="n">
        <x:v>10</x:v>
      </x:c>
      <x:c r="O56" s="13" t="n">
        <x:v>16</x:v>
      </x:c>
      <x:c r="P56" s="13">
        <x:f>O56+ROUNDUP(N56/Inputs!$B$4,0)-1</x:f>
      </x:c>
      <x:c r="Q56" s="17">
        <x:f>Inputs!$B$3+(O56-1)*Inputs!$B$4</x:f>
      </x:c>
      <x:c r="R56" s="17">
        <x:f>Q56+N56-1</x:f>
      </x:c>
      <x:c r="S56" s="9" t="inlineStr">
        <x:is>
          <x:t xml:space="preserve">DSN-19,IMP-35</x:t>
        </x:is>
      </x:c>
      <x:c r="T56" s="15" t="inlineStr">
        <x:is>
          <x:t xml:space="preserve">N</x:t>
        </x:is>
      </x:c>
      <x:c r="U56" s="14" t="inlineStr">
        <x:is>
          <x:t xml:space="preserve"/>
        </x:is>
      </x:c>
    </x:row>
    <x:row r="57" ht="42" customHeight="1">
      <x:c r="A57" s="9" t="inlineStr">
        <x:is>
          <x:t xml:space="preserve">IMP-47</x:t>
        </x:is>
      </x:c>
      <x:c r="B57" s="9" t="inlineStr">
        <x:is>
          <x:t xml:space="preserve">Implementation</x:t>
        </x:is>
      </x:c>
      <x:c r="C57" s="9" t="inlineStr">
        <x:is>
          <x:t xml:space="preserve">Scale-out</x:t>
        </x:is>
      </x:c>
      <x:c r="D57" s="13" t="n">
        <x:v>5</x:v>
      </x:c>
      <x:c r="E57" s="9" t="inlineStr">
        <x:is>
          <x:t xml:space="preserve">Wave 2</x:t>
        </x:is>
      </x:c>
      <x:c r="F57" s="9" t="inlineStr">
        <x:is>
          <x:t xml:space="preserve">Wave 2 onboarding (30 APIs)</x:t>
        </x:is>
      </x:c>
      <x:c r="G57" s="14" t="inlineStr">
        <x:is>
          <x:t xml:space="preserve">Onboard 30 APIs (mixed complexity). Ensure owners assigned and SLOs configured.</x:t>
        </x:is>
      </x:c>
      <x:c r="H57" s="14" t="inlineStr">
        <x:is>
          <x:t xml:space="preserve">30 more APIs live</x:t>
        </x:is>
      </x:c>
      <x:c r="I57" s="9" t="inlineStr">
        <x:is>
          <x:t xml:space="preserve">Data Engineer</x:t>
        </x:is>
      </x:c>
      <x:c r="J57" s="15" t="inlineStr">
        <x:is>
          <x:t xml:space="preserve">R</x:t>
        </x:is>
      </x:c>
      <x:c r="K57" s="15" t="inlineStr">
        <x:is>
          <x:t xml:space="preserve">P1</x:t>
        </x:is>
      </x:c>
      <x:c r="L57" s="15" t="inlineStr">
        <x:is>
          <x:t xml:space="preserve">Not Started</x:t>
        </x:is>
      </x:c>
      <x:c r="M57" s="16" t="n">
        <x:v>30</x:v>
      </x:c>
      <x:c r="N57" s="13" t="n">
        <x:v>15</x:v>
      </x:c>
      <x:c r="O57" s="13" t="n">
        <x:v>17</x:v>
      </x:c>
      <x:c r="P57" s="13">
        <x:f>O57+ROUNDUP(N57/Inputs!$B$4,0)-1</x:f>
      </x:c>
      <x:c r="Q57" s="17">
        <x:f>Inputs!$B$3+(O57-1)*Inputs!$B$4</x:f>
      </x:c>
      <x:c r="R57" s="17">
        <x:f>Q57+N57-1</x:f>
      </x:c>
      <x:c r="S57" s="9" t="inlineStr">
        <x:is>
          <x:t xml:space="preserve">IMP-50</x:t>
        </x:is>
      </x:c>
      <x:c r="T57" s="15" t="inlineStr">
        <x:is>
          <x:t xml:space="preserve">N</x:t>
        </x:is>
      </x:c>
      <x:c r="U57" s="14" t="inlineStr">
        <x:is>
          <x:t xml:space="preserve"/>
        </x:is>
      </x:c>
    </x:row>
    <x:row r="58" ht="42" customHeight="1">
      <x:c r="A58" s="9" t="inlineStr">
        <x:is>
          <x:t xml:space="preserve">IMP-49</x:t>
        </x:is>
      </x:c>
      <x:c r="B58" s="9" t="inlineStr">
        <x:is>
          <x:t xml:space="preserve">Implementation</x:t>
        </x:is>
      </x:c>
      <x:c r="C58" s="9" t="inlineStr">
        <x:is>
          <x:t xml:space="preserve">Scale-out</x:t>
        </x:is>
      </x:c>
      <x:c r="D58" s="13" t="n">
        <x:v>5</x:v>
      </x:c>
      <x:c r="E58" s="9" t="inlineStr">
        <x:is>
          <x:t xml:space="preserve">Operations</x:t>
        </x:is>
      </x:c>
      <x:c r="F58" s="9" t="inlineStr">
        <x:is>
          <x:t xml:space="preserve">Implement cost attribution dashboard (showback)</x:t>
        </x:is>
      </x:c>
      <x:c r="G58" s="14" t="inlineStr">
        <x:is>
          <x:t xml:space="preserve">Dashboard compute/storage per source/vendor; identify top spenders; feed to tuning.</x:t>
        </x:is>
      </x:c>
      <x:c r="H58" s="14" t="inlineStr">
        <x:is>
          <x:t xml:space="preserve">Cost dashboard</x:t>
        </x:is>
      </x:c>
      <x:c r="I58" s="9" t="inlineStr">
        <x:is>
          <x:t xml:space="preserve">DevOps/Platform Eng</x:t>
        </x:is>
      </x:c>
      <x:c r="J58" s="15" t="inlineStr">
        <x:is>
          <x:t xml:space="preserve">A</x:t>
        </x:is>
      </x:c>
      <x:c r="K58" s="15" t="inlineStr">
        <x:is>
          <x:t xml:space="preserve">P2</x:t>
        </x:is>
      </x:c>
      <x:c r="L58" s="15" t="inlineStr">
        <x:is>
          <x:t xml:space="preserve">Not Started</x:t>
        </x:is>
      </x:c>
      <x:c r="M58" s="16" t="n">
        <x:v>6</x:v>
      </x:c>
      <x:c r="N58" s="13" t="n">
        <x:v>7</x:v>
      </x:c>
      <x:c r="O58" s="13" t="n">
        <x:v>18</x:v>
      </x:c>
      <x:c r="P58" s="13">
        <x:f>O58+ROUNDUP(N58/Inputs!$B$4,0)-1</x:f>
      </x:c>
      <x:c r="Q58" s="17">
        <x:f>Inputs!$B$3+(O58-1)*Inputs!$B$4</x:f>
      </x:c>
      <x:c r="R58" s="17">
        <x:f>Q58+N58-1</x:f>
      </x:c>
      <x:c r="S58" s="9" t="inlineStr">
        <x:is>
          <x:t xml:space="preserve">DSN-20,IMP-23</x:t>
        </x:is>
      </x:c>
      <x:c r="T58" s="15" t="inlineStr">
        <x:is>
          <x:t xml:space="preserve">N</x:t>
        </x:is>
      </x:c>
      <x:c r="U58" s="14" t="inlineStr">
        <x:is>
          <x:t xml:space="preserve"/>
        </x:is>
      </x:c>
    </x:row>
    <x:row r="59" ht="42" customHeight="1">
      <x:c r="A59" s="9" t="inlineStr">
        <x:is>
          <x:t xml:space="preserve">IMP-51</x:t>
        </x:is>
      </x:c>
      <x:c r="B59" s="9" t="inlineStr">
        <x:is>
          <x:t xml:space="preserve">Implementation</x:t>
        </x:is>
      </x:c>
      <x:c r="C59" s="9" t="inlineStr">
        <x:is>
          <x:t xml:space="preserve">Scale-out</x:t>
        </x:is>
      </x:c>
      <x:c r="D59" s="13" t="n">
        <x:v>5</x:v>
      </x:c>
      <x:c r="E59" s="9" t="inlineStr">
        <x:is>
          <x:t xml:space="preserve">Quality</x:t>
        </x:is>
      </x:c>
      <x:c r="F59" s="9" t="inlineStr">
        <x:is>
          <x:t xml:space="preserve">Enhance anomaly detection on volume/freshness</x:t>
        </x:is>
      </x:c>
      <x:c r="G59" s="14" t="inlineStr">
        <x:is>
          <x:t xml:space="preserve">Add baseline anomaly detection (counts/lag) and alert on deviations; tune thresholds.</x:t>
        </x:is>
      </x:c>
      <x:c r="H59" s="14" t="inlineStr">
        <x:is>
          <x:t xml:space="preserve">Anomaly detection v1</x:t>
        </x:is>
      </x:c>
      <x:c r="I59" s="9" t="inlineStr">
        <x:is>
          <x:t xml:space="preserve">SRE/Operations</x:t>
        </x:is>
      </x:c>
      <x:c r="J59" s="15" t="inlineStr">
        <x:is>
          <x:t xml:space="preserve">A</x:t>
        </x:is>
      </x:c>
      <x:c r="K59" s="15" t="inlineStr">
        <x:is>
          <x:t xml:space="preserve">P2</x:t>
        </x:is>
      </x:c>
      <x:c r="L59" s="15" t="inlineStr">
        <x:is>
          <x:t xml:space="preserve">Not Started</x:t>
        </x:is>
      </x:c>
      <x:c r="M59" s="16" t="n">
        <x:v>6</x:v>
      </x:c>
      <x:c r="N59" s="13" t="n">
        <x:v>8</x:v>
      </x:c>
      <x:c r="O59" s="13" t="n">
        <x:v>19</x:v>
      </x:c>
      <x:c r="P59" s="13">
        <x:f>O59+ROUNDUP(N59/Inputs!$B$4,0)-1</x:f>
      </x:c>
      <x:c r="Q59" s="17">
        <x:f>Inputs!$B$3+(O59-1)*Inputs!$B$4</x:f>
      </x:c>
      <x:c r="R59" s="17">
        <x:f>Q59+N59-1</x:f>
      </x:c>
      <x:c r="S59" s="9" t="inlineStr">
        <x:is>
          <x:t xml:space="preserve">IMP-26</x:t>
        </x:is>
      </x:c>
      <x:c r="T59" s="15" t="inlineStr">
        <x:is>
          <x:t xml:space="preserve">N</x:t>
        </x:is>
      </x:c>
      <x:c r="U59" s="14" t="inlineStr">
        <x:is>
          <x:t xml:space="preserve"/>
        </x:is>
      </x:c>
    </x:row>
    <x:row r="60" ht="42" customHeight="1">
      <x:c r="A60" s="9" t="inlineStr">
        <x:is>
          <x:t xml:space="preserve">IMP-48</x:t>
        </x:is>
      </x:c>
      <x:c r="B60" s="9" t="inlineStr">
        <x:is>
          <x:t xml:space="preserve">Implementation</x:t>
        </x:is>
      </x:c>
      <x:c r="C60" s="9" t="inlineStr">
        <x:is>
          <x:t xml:space="preserve">Scale-out</x:t>
        </x:is>
      </x:c>
      <x:c r="D60" s="13" t="n">
        <x:v>5</x:v>
      </x:c>
      <x:c r="E60" s="9" t="inlineStr">
        <x:is>
          <x:t xml:space="preserve">Wave 3</x:t>
        </x:is>
      </x:c>
      <x:c r="F60" s="9" t="inlineStr">
        <x:is>
          <x:t xml:space="preserve">Wave 3 onboarding (40 APIs)</x:t>
        </x:is>
      </x:c>
      <x:c r="G60" s="14" t="inlineStr">
        <x:is>
          <x:t xml:space="preserve">Onboard 40 APIs; include higher complexity; expand vendor profiles; enforce gates.</x:t>
        </x:is>
      </x:c>
      <x:c r="H60" s="14" t="inlineStr">
        <x:is>
          <x:t xml:space="preserve">40 more APIs live</x:t>
        </x:is>
      </x:c>
      <x:c r="I60" s="9" t="inlineStr">
        <x:is>
          <x:t xml:space="preserve">Data Engineer</x:t>
        </x:is>
      </x:c>
      <x:c r="J60" s="15" t="inlineStr">
        <x:is>
          <x:t xml:space="preserve">R</x:t>
        </x:is>
      </x:c>
      <x:c r="K60" s="15" t="inlineStr">
        <x:is>
          <x:t xml:space="preserve">P2</x:t>
        </x:is>
      </x:c>
      <x:c r="L60" s="15" t="inlineStr">
        <x:is>
          <x:t xml:space="preserve">Not Started</x:t>
        </x:is>
      </x:c>
      <x:c r="M60" s="16" t="n">
        <x:v>40</x:v>
      </x:c>
      <x:c r="N60" s="13" t="n">
        <x:v>20</x:v>
      </x:c>
      <x:c r="O60" s="13" t="n">
        <x:v>20</x:v>
      </x:c>
      <x:c r="P60" s="13">
        <x:f>O60+ROUNDUP(N60/Inputs!$B$4,0)-1</x:f>
      </x:c>
      <x:c r="Q60" s="17">
        <x:f>Inputs!$B$3+(O60-1)*Inputs!$B$4</x:f>
      </x:c>
      <x:c r="R60" s="17">
        <x:f>Q60+N60-1</x:f>
      </x:c>
      <x:c r="S60" s="9" t="inlineStr">
        <x:is>
          <x:t xml:space="preserve">IMP-51</x:t>
        </x:is>
      </x:c>
      <x:c r="T60" s="15" t="inlineStr">
        <x:is>
          <x:t xml:space="preserve">N</x:t>
        </x:is>
      </x:c>
      <x:c r="U60" s="14" t="inlineStr">
        <x:is>
          <x:t xml:space="preserve"/>
        </x:is>
      </x:c>
    </x:row>
    <x:row r="61" ht="42" customHeight="1">
      <x:c r="A61" s="9" t="inlineStr">
        <x:is>
          <x:t xml:space="preserve">IMP-63</x:t>
        </x:is>
      </x:c>
      <x:c r="B61" s="9" t="inlineStr">
        <x:is>
          <x:t xml:space="preserve">Implementation</x:t>
        </x:is>
      </x:c>
      <x:c r="C61" s="9" t="inlineStr">
        <x:is>
          <x:t xml:space="preserve">Governance</x:t>
        </x:is>
      </x:c>
      <x:c r="D61" s="13" t="n">
        <x:v>5</x:v>
      </x:c>
      <x:c r="E61" s="9" t="inlineStr">
        <x:is>
          <x:t xml:space="preserve">Decommission</x:t>
        </x:is>
      </x:c>
      <x:c r="F61" s="9" t="inlineStr">
        <x:is>
          <x:t xml:space="preserve">Tag and track deprecated/unused sources</x:t>
        </x:is>
      </x:c>
      <x:c r="G61" s="14" t="inlineStr">
        <x:is>
          <x:t xml:space="preserve">Add registry fields and reports for unused sources; prepare for decommission wave.</x:t>
        </x:is>
      </x:c>
      <x:c r="H61" s="14" t="inlineStr">
        <x:is>
          <x:t xml:space="preserve">Deprecated sources report</x:t>
        </x:is>
      </x:c>
      <x:c r="I61" s="9" t="inlineStr">
        <x:is>
          <x:t xml:space="preserve">Data Engineer</x:t>
        </x:is>
      </x:c>
      <x:c r="J61" s="15" t="inlineStr">
        <x:is>
          <x:t xml:space="preserve">R</x:t>
        </x:is>
      </x:c>
      <x:c r="K61" s="15" t="inlineStr">
        <x:is>
          <x:t xml:space="preserve">P3</x:t>
        </x:is>
      </x:c>
      <x:c r="L61" s="15" t="inlineStr">
        <x:is>
          <x:t xml:space="preserve">Not Started</x:t>
        </x:is>
      </x:c>
      <x:c r="M61" s="16" t="n">
        <x:v>2</x:v>
      </x:c>
      <x:c r="N61" s="13" t="n">
        <x:v>3</x:v>
      </x:c>
      <x:c r="O61" s="13" t="n">
        <x:v>21</x:v>
      </x:c>
      <x:c r="P61" s="13">
        <x:f>O61+ROUNDUP(N61/Inputs!$B$4,0)-1</x:f>
      </x:c>
      <x:c r="Q61" s="17">
        <x:f>Inputs!$B$3+(O61-1)*Inputs!$B$4</x:f>
      </x:c>
      <x:c r="R61" s="17">
        <x:f>Q61+N61-1</x:f>
      </x:c>
      <x:c r="S61" s="9" t="inlineStr">
        <x:is>
          <x:t xml:space="preserve">IMP-03</x:t>
        </x:is>
      </x:c>
      <x:c r="T61" s="15" t="inlineStr">
        <x:is>
          <x:t xml:space="preserve">N</x:t>
        </x:is>
      </x:c>
      <x:c r="U61" s="14" t="inlineStr">
        <x:is>
          <x:t xml:space="preserve"/>
        </x:is>
      </x:c>
    </x:row>
    <x:row r="62" ht="42" customHeight="1">
      <x:c r="A62" s="9" t="inlineStr">
        <x:is>
          <x:t xml:space="preserve">IMP-52</x:t>
        </x:is>
      </x:c>
      <x:c r="B62" s="9" t="inlineStr">
        <x:is>
          <x:t xml:space="preserve">Implementation</x:t>
        </x:is>
      </x:c>
      <x:c r="C62" s="9" t="inlineStr">
        <x:is>
          <x:t xml:space="preserve">Scale-out</x:t>
        </x:is>
      </x:c>
      <x:c r="D62" s="13" t="n">
        <x:v>5</x:v>
      </x:c>
      <x:c r="E62" s="9" t="inlineStr">
        <x:is>
          <x:t xml:space="preserve">Governance</x:t>
        </x:is>
      </x:c>
      <x:c r="F62" s="9" t="inlineStr">
        <x:is>
          <x:t xml:space="preserve">Implement decommission workflow automation</x:t>
        </x:is>
      </x:c>
      <x:c r="G62" s="14" t="inlineStr">
        <x:is>
          <x:t xml:space="preserve">Automate disabling schedules, archiving configs, and updating registry status.</x:t>
        </x:is>
      </x:c>
      <x:c r="H62" s="14" t="inlineStr">
        <x:is>
          <x:t xml:space="preserve">Decommission automation</x:t>
        </x:is>
      </x:c>
      <x:c r="I62" s="9" t="inlineStr">
        <x:is>
          <x:t xml:space="preserve">DevOps/Platform Eng</x:t>
        </x:is>
      </x:c>
      <x:c r="J62" s="15" t="inlineStr">
        <x:is>
          <x:t xml:space="preserve">R</x:t>
        </x:is>
      </x:c>
      <x:c r="K62" s="15" t="inlineStr">
        <x:is>
          <x:t xml:space="preserve">P3</x:t>
        </x:is>
      </x:c>
      <x:c r="L62" s="15" t="inlineStr">
        <x:is>
          <x:t xml:space="preserve">Not Started</x:t>
        </x:is>
      </x:c>
      <x:c r="M62" s="16" t="n">
        <x:v>4</x:v>
      </x:c>
      <x:c r="N62" s="13" t="n">
        <x:v>5</x:v>
      </x:c>
      <x:c r="O62" s="13" t="n">
        <x:v>22</x:v>
      </x:c>
      <x:c r="P62" s="13">
        <x:f>O62+ROUNDUP(N62/Inputs!$B$4,0)-1</x:f>
      </x:c>
      <x:c r="Q62" s="17">
        <x:f>Inputs!$B$3+(O62-1)*Inputs!$B$4</x:f>
      </x:c>
      <x:c r="R62" s="17">
        <x:f>Q62+N62-1</x:f>
      </x:c>
      <x:c r="S62" s="9" t="inlineStr">
        <x:is>
          <x:t xml:space="preserve">PRC-12</x:t>
        </x:is>
      </x:c>
      <x:c r="T62" s="15" t="inlineStr">
        <x:is>
          <x:t xml:space="preserve">N</x:t>
        </x:is>
      </x:c>
      <x:c r="U62" s="14" t="inlineStr">
        <x:is>
          <x:t xml:space="preserve"/>
        </x:is>
      </x:c>
    </x:row>
    <x:row r="63" ht="42" customHeight="1">
      <x:c r="A63" s="18" t="inlineStr">
        <x:is>
          <x:t xml:space="preserve">IMP-43</x:t>
        </x:is>
      </x:c>
      <x:c r="B63" s="18" t="inlineStr">
        <x:is>
          <x:t xml:space="preserve">Implementation</x:t>
        </x:is>
      </x:c>
      <x:c r="C63" s="18" t="inlineStr">
        <x:is>
          <x:t xml:space="preserve">Operations</x:t>
        </x:is>
      </x:c>
      <x:c r="D63" s="19" t="n">
        <x:v>6</x:v>
      </x:c>
      <x:c r="E63" s="18" t="inlineStr">
        <x:is>
          <x:t xml:space="preserve">ORR</x:t>
        </x:is>
      </x:c>
      <x:c r="F63" s="18" t="inlineStr">
        <x:is>
          <x:t xml:space="preserve">Execute Operational Readiness Review (ORR)</x:t>
        </x:is>
      </x:c>
      <x:c r="G63" s="20" t="inlineStr">
        <x:is>
          <x:t xml:space="preserve">Run ORR checklist, ensure runbooks, SLOs, alerts, permissions, DR tested; obtain signoff.</x:t>
        </x:is>
      </x:c>
      <x:c r="H63" s="20" t="inlineStr">
        <x:is>
          <x:t xml:space="preserve">ORR signoff</x:t>
        </x:is>
      </x:c>
      <x:c r="I63" s="18" t="inlineStr">
        <x:is>
          <x:t xml:space="preserve">SRE/Operations</x:t>
        </x:is>
      </x:c>
      <x:c r="J63" s="21" t="inlineStr">
        <x:is>
          <x:t xml:space="preserve">A</x:t>
        </x:is>
      </x:c>
      <x:c r="K63" s="21" t="inlineStr">
        <x:is>
          <x:t xml:space="preserve">P0</x:t>
        </x:is>
      </x:c>
      <x:c r="L63" s="21" t="inlineStr">
        <x:is>
          <x:t xml:space="preserve">Not Started</x:t>
        </x:is>
      </x:c>
      <x:c r="M63" s="22" t="n">
        <x:v>5</x:v>
      </x:c>
      <x:c r="N63" s="19" t="n">
        <x:v>5</x:v>
      </x:c>
      <x:c r="O63" s="19" t="n">
        <x:v>13</x:v>
      </x:c>
      <x:c r="P63" s="19">
        <x:f>O63+ROUNDUP(N63/Inputs!$B$4,0)-1</x:f>
      </x:c>
      <x:c r="Q63" s="23">
        <x:f>Inputs!$B$3+(O63-1)*Inputs!$B$4</x:f>
      </x:c>
      <x:c r="R63" s="23">
        <x:f>Q63+N63-1</x:f>
      </x:c>
      <x:c r="S63" s="18" t="inlineStr">
        <x:is>
          <x:t xml:space="preserve">PRC-10,IMP-44,IMP-34</x:t>
        </x:is>
      </x:c>
      <x:c r="T63" s="21" t="inlineStr">
        <x:is>
          <x:t xml:space="preserve">Y</x:t>
        </x:is>
      </x:c>
      <x:c r="U63" s="20" t="inlineStr">
        <x:is>
          <x:t xml:space="preserve"/>
        </x:is>
      </x:c>
    </x:row>
    <x:row r="64" ht="42" customHeight="1">
      <x:c r="A64" s="9" t="inlineStr">
        <x:is>
          <x:t xml:space="preserve">IMP-44</x:t>
        </x:is>
      </x:c>
      <x:c r="B64" s="9" t="inlineStr">
        <x:is>
          <x:t xml:space="preserve">Implementation</x:t>
        </x:is>
      </x:c>
      <x:c r="C64" s="9" t="inlineStr">
        <x:is>
          <x:t xml:space="preserve">Operations</x:t>
        </x:is>
      </x:c>
      <x:c r="D64" s="13" t="n">
        <x:v>6</x:v>
      </x:c>
      <x:c r="E64" s="9" t="inlineStr">
        <x:is>
          <x:t xml:space="preserve">Game Days</x:t>
        </x:is>
      </x:c>
      <x:c r="F64" s="9" t="inlineStr">
        <x:is>
          <x:t xml:space="preserve">Conduct game days (token expiry, vendor outage, schema break)</x:t>
        </x:is>
      </x:c>
      <x:c r="G64" s="14" t="inlineStr">
        <x:is>
          <x:t xml:space="preserve">Simulate failures, validate alert routing, runbooks, and recovery procedures; capture actions.</x:t>
        </x:is>
      </x:c>
      <x:c r="H64" s="14" t="inlineStr">
        <x:is>
          <x:t xml:space="preserve">Game day evidence pack</x:t>
        </x:is>
      </x:c>
      <x:c r="I64" s="9" t="inlineStr">
        <x:is>
          <x:t xml:space="preserve">SRE/Operations</x:t>
        </x:is>
      </x:c>
      <x:c r="J64" s="15" t="inlineStr">
        <x:is>
          <x:t xml:space="preserve">A</x:t>
        </x:is>
      </x:c>
      <x:c r="K64" s="15" t="inlineStr">
        <x:is>
          <x:t xml:space="preserve">P1</x:t>
        </x:is>
      </x:c>
      <x:c r="L64" s="15" t="inlineStr">
        <x:is>
          <x:t xml:space="preserve">Not Started</x:t>
        </x:is>
      </x:c>
      <x:c r="M64" s="16" t="n">
        <x:v>5</x:v>
      </x:c>
      <x:c r="N64" s="13" t="n">
        <x:v>6</x:v>
      </x:c>
      <x:c r="O64" s="13" t="n">
        <x:v>13</x:v>
      </x:c>
      <x:c r="P64" s="13">
        <x:f>O64+ROUNDUP(N64/Inputs!$B$4,0)-1</x:f>
      </x:c>
      <x:c r="Q64" s="17">
        <x:f>Inputs!$B$3+(O64-1)*Inputs!$B$4</x:f>
      </x:c>
      <x:c r="R64" s="17">
        <x:f>Q64+N64-1</x:f>
      </x:c>
      <x:c r="S64" s="9" t="inlineStr">
        <x:is>
          <x:t xml:space="preserve">PRC-11,IMP-46</x:t>
        </x:is>
      </x:c>
      <x:c r="T64" s="15" t="inlineStr">
        <x:is>
          <x:t xml:space="preserve">N</x:t>
        </x:is>
      </x:c>
      <x:c r="U64" s="14" t="inlineStr">
        <x:is>
          <x:t xml:space="preserve"/>
        </x:is>
      </x:c>
    </x:row>
    <x:row r="65" ht="42" customHeight="1">
      <x:c r="A65" s="9" t="inlineStr">
        <x:is>
          <x:t xml:space="preserve">IMP-53</x:t>
        </x:is>
      </x:c>
      <x:c r="B65" s="9" t="inlineStr">
        <x:is>
          <x:t xml:space="preserve">Implementation</x:t>
        </x:is>
      </x:c>
      <x:c r="C65" s="9" t="inlineStr">
        <x:is>
          <x:t xml:space="preserve">Operations</x:t>
        </x:is>
      </x:c>
      <x:c r="D65" s="13" t="n">
        <x:v>6</x:v>
      </x:c>
      <x:c r="E65" s="9" t="inlineStr">
        <x:is>
          <x:t xml:space="preserve">Handover</x:t>
        </x:is>
      </x:c>
      <x:c r="F65" s="9" t="inlineStr">
        <x:is>
          <x:t xml:space="preserve">Ops training + handover to run team</x:t>
        </x:is>
      </x:c>
      <x:c r="G65" s="14" t="inlineStr">
        <x:is>
          <x:t xml:space="preserve">Training sessions for on-call, walk through dashboards/runbooks, define steady-state rituals.</x:t>
        </x:is>
      </x:c>
      <x:c r="H65" s="14" t="inlineStr">
        <x:is>
          <x:t xml:space="preserve">Handover complete</x:t>
        </x:is>
      </x:c>
      <x:c r="I65" s="9" t="inlineStr">
        <x:is>
          <x:t xml:space="preserve">SRE/Operations</x:t>
        </x:is>
      </x:c>
      <x:c r="J65" s="15" t="inlineStr">
        <x:is>
          <x:t xml:space="preserve">A</x:t>
        </x:is>
      </x:c>
      <x:c r="K65" s="15" t="inlineStr">
        <x:is>
          <x:t xml:space="preserve">P1</x:t>
        </x:is>
      </x:c>
      <x:c r="L65" s="15" t="inlineStr">
        <x:is>
          <x:t xml:space="preserve">Not Started</x:t>
        </x:is>
      </x:c>
      <x:c r="M65" s="16" t="n">
        <x:v>4</x:v>
      </x:c>
      <x:c r="N65" s="13" t="n">
        <x:v>4</x:v>
      </x:c>
      <x:c r="O65" s="13" t="n">
        <x:v>14</x:v>
      </x:c>
      <x:c r="P65" s="13">
        <x:f>O65+ROUNDUP(N65/Inputs!$B$4,0)-1</x:f>
      </x:c>
      <x:c r="Q65" s="17">
        <x:f>Inputs!$B$3+(O65-1)*Inputs!$B$4</x:f>
      </x:c>
      <x:c r="R65" s="17">
        <x:f>Q65+N65-1</x:f>
      </x:c>
      <x:c r="S65" s="9" t="inlineStr">
        <x:is>
          <x:t xml:space="preserve">IMP-46</x:t>
        </x:is>
      </x:c>
      <x:c r="T65" s="15" t="inlineStr">
        <x:is>
          <x:t xml:space="preserve">N</x:t>
        </x:is>
      </x:c>
      <x:c r="U65" s="14" t="inlineStr">
        <x:is>
          <x:t xml:space="preserve"/>
        </x:is>
      </x:c>
    </x:row>
    <x:row r="66" ht="42" customHeight="1">
      <x:c r="A66" s="9" t="inlineStr">
        <x:is>
          <x:t xml:space="preserve">IMP-54</x:t>
        </x:is>
      </x:c>
      <x:c r="B66" s="9" t="inlineStr">
        <x:is>
          <x:t xml:space="preserve">Implementation</x:t>
        </x:is>
      </x:c>
      <x:c r="C66" s="9" t="inlineStr">
        <x:is>
          <x:t xml:space="preserve">Operations</x:t>
        </x:is>
      </x:c>
      <x:c r="D66" s="13" t="n">
        <x:v>6</x:v>
      </x:c>
      <x:c r="E66" s="9" t="inlineStr">
        <x:is>
          <x:t xml:space="preserve">Documentation</x:t>
        </x:is>
      </x:c>
      <x:c r="F66" s="9" t="inlineStr">
        <x:is>
          <x:t xml:space="preserve">Finalize operations handbook and runbook set</x:t>
        </x:is>
      </x:c>
      <x:c r="G66" s="14" t="inlineStr">
        <x:is>
          <x:t xml:space="preserve">Incorporate lessons from pilot and game days; publish final versions; set review cadence.</x:t>
        </x:is>
      </x:c>
      <x:c r="H66" s="14" t="inlineStr">
        <x:is>
          <x:t xml:space="preserve">Ops docs v1.0</x:t>
        </x:is>
      </x:c>
      <x:c r="I66" s="9" t="inlineStr">
        <x:is>
          <x:t xml:space="preserve">SRE/Operations</x:t>
        </x:is>
      </x:c>
      <x:c r="J66" s="15" t="inlineStr">
        <x:is>
          <x:t xml:space="preserve">A</x:t>
        </x:is>
      </x:c>
      <x:c r="K66" s="15" t="inlineStr">
        <x:is>
          <x:t xml:space="preserve">P1</x:t>
        </x:is>
      </x:c>
      <x:c r="L66" s="15" t="inlineStr">
        <x:is>
          <x:t xml:space="preserve">Not Started</x:t>
        </x:is>
      </x:c>
      <x:c r="M66" s="16" t="n">
        <x:v>4</x:v>
      </x:c>
      <x:c r="N66" s="13" t="n">
        <x:v>5</x:v>
      </x:c>
      <x:c r="O66" s="13" t="n">
        <x:v>14</x:v>
      </x:c>
      <x:c r="P66" s="13">
        <x:f>O66+ROUNDUP(N66/Inputs!$B$4,0)-1</x:f>
      </x:c>
      <x:c r="Q66" s="17">
        <x:f>Inputs!$B$3+(O66-1)*Inputs!$B$4</x:f>
      </x:c>
      <x:c r="R66" s="17">
        <x:f>Q66+N66-1</x:f>
      </x:c>
      <x:c r="S66" s="9" t="inlineStr">
        <x:is>
          <x:t xml:space="preserve">IMP-34,IMP-47</x:t>
        </x:is>
      </x:c>
      <x:c r="T66" s="15" t="inlineStr">
        <x:is>
          <x:t xml:space="preserve">N</x:t>
        </x:is>
      </x:c>
      <x:c r="U66" s="14" t="inlineStr">
        <x:is>
          <x:t xml:space="preserve"/>
        </x:is>
      </x:c>
    </x:row>
  </x:sheetData>
  <x:mergeCells>
    <x:mergeCell ref="A1:U1"/>
    <x:mergeCell ref="A2:U2"/>
  </x:mergeCells>
  <x:conditionalFormatting sqref="K4:K66">
    <x:cfRule type="expression" dxfId="0" priority="1">
      <x:formula>$K4="P0"</x:formula>
    </x:cfRule>
    <x:cfRule type="expression" dxfId="1" priority="2">
      <x:formula>$K4="P1"</x:formula>
    </x:cfRule>
    <x:cfRule type="expression" dxfId="2" priority="3">
      <x:formula>$K4="P2"</x:formula>
    </x:cfRule>
    <x:cfRule type="expression" dxfId="3" priority="4">
      <x:formula>$K4="P3"</x:formula>
    </x:cfRule>
  </x:conditionalFormatting>
  <x:conditionalFormatting sqref="L4:L66">
    <x:cfRule type="expression" dxfId="0" priority="5">
      <x:formula>$L4="Blocked"</x:formula>
    </x:cfRule>
    <x:cfRule type="expression" dxfId="1" priority="6">
      <x:formula>$L4="In Progress"</x:formula>
    </x:cfRule>
    <x:cfRule type="expression" dxfId="4" priority="7">
      <x:formula>$L4="Done"</x:formula>
    </x:cfRule>
  </x:conditionalFormatting>
  <x:conditionalFormatting sqref="R4:R66">
    <x:cfRule type="expression" dxfId="5" priority="8">
      <x:formula>AND($R4&lt;TODAY(),$L4&lt;&gt;"Done")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customWidth="1"/>
    <x:col min="2" max="2" width="48" customWidth="1"/>
    <x:col min="3" max="3" width="16" customWidth="1"/>
    <x:col min="4" max="4" width="22" customWidth="1"/>
    <x:col min="5" max="5" width="2" customWidth="1"/>
    <x:col min="6" max="6" width="18" customWidth="1"/>
    <x:col min="7" max="7" width="14" customWidth="1"/>
    <x:col min="8" max="8" width="2" customWidth="1"/>
  </x:cols>
  <x:sheetData>
    <x:row r="1">
      <x:c r="A1" s="5" t="inlineStr">
        <x:is>
          <x:t xml:space="preserve">Summary – counts, effort, milestones</x:t>
        </x:is>
      </x:c>
    </x:row>
    <x:row r="3">
      <x:c r="A3" s="2" t="inlineStr">
        <x:is>
          <x:t xml:space="preserve">Effort by Category</x:t>
        </x:is>
      </x:c>
      <x:c r="F3" s="2" t="inlineStr">
        <x:is>
          <x:t xml:space="preserve">Key KPIs</x:t>
        </x:is>
      </x:c>
    </x:row>
    <x:row r="4">
      <x:c r="A4" s="12" t="inlineStr">
        <x:is>
          <x:t xml:space="preserve">Category</x:t>
        </x:is>
      </x:c>
      <x:c r="B4" s="12" t="inlineStr">
        <x:is>
          <x:t xml:space="preserve">Tasks (#)</x:t>
        </x:is>
      </x:c>
      <x:c r="C4" s="12" t="inlineStr">
        <x:is>
          <x:t xml:space="preserve">Effort (PD)</x:t>
        </x:is>
      </x:c>
      <x:c r="D4" s="12" t="inlineStr">
        <x:is>
          <x:t xml:space="preserve">% of Effort</x:t>
        </x:is>
      </x:c>
      <x:c r="F4" s="24" t="inlineStr">
        <x:is>
          <x:t xml:space="preserve">Total tasks</x:t>
        </x:is>
      </x:c>
      <x:c r="G4" s="25">
        <x:f>B10</x:f>
        <x:v>47</x:v>
      </x:c>
    </x:row>
    <x:row r="5">
      <x:c r="A5" s="9" t="inlineStr">
        <x:is>
          <x:t xml:space="preserve">Policy</x:t>
        </x:is>
      </x:c>
      <x:c r="B5" s="15">
        <x:f>COUNTIF(Master!$B$4:$B$141,"Policy")</x:f>
        <x:v>0</x:v>
      </x:c>
      <x:c r="C5" s="15">
        <x:f>SUMIF(Master!$B$4:$B$141,"Policy",Master!$M$4:$M$141)</x:f>
        <x:v>0</x:v>
      </x:c>
      <x:c r="D5" s="26">
        <x:f>IF($C$10=0,0,C5/$C$10)</x:f>
        <x:v>0</x:v>
      </x:c>
      <x:c r="F5" s="24" t="inlineStr">
        <x:is>
          <x:t xml:space="preserve">Total effort (PD)</x:t>
        </x:is>
      </x:c>
      <x:c r="G5" s="25">
        <x:f>C10</x:f>
        <x:v>8</x:v>
      </x:c>
    </x:row>
    <x:row r="6">
      <x:c r="A6" s="9" t="inlineStr">
        <x:is>
          <x:t xml:space="preserve">Process</x:t>
        </x:is>
      </x:c>
      <x:c r="B6" s="15">
        <x:f>COUNTIF(Master!$B$4:$B$141,"Process")</x:f>
        <x:v>0</x:v>
      </x:c>
      <x:c r="C6" s="15">
        <x:f>SUMIF(Master!$B$4:$B$141,"Process",Master!$M$4:$M$141)</x:f>
        <x:v>0</x:v>
      </x:c>
      <x:c r="D6" s="26">
        <x:f>IF($C$10=0,0,C6/$C$10)</x:f>
        <x:v>0</x:v>
      </x:c>
      <x:c r="F6" s="24" t="inlineStr">
        <x:is>
          <x:t xml:space="preserve">Milestones (#)</x:t>
        </x:is>
      </x:c>
      <x:c r="G6" s="25">
        <x:f>COUNTIF(Master!$T$4:$T$141,"Y")</x:f>
        <x:v>3</x:v>
      </x:c>
    </x:row>
    <x:row r="7">
      <x:c r="A7" s="9" t="inlineStr">
        <x:is>
          <x:t xml:space="preserve">Procedure</x:t>
        </x:is>
      </x:c>
      <x:c r="B7" s="15">
        <x:f>COUNTIF(Master!$B$4:$B$141,"Procedure")</x:f>
        <x:v>0</x:v>
      </x:c>
      <x:c r="C7" s="15">
        <x:f>SUMIF(Master!$B$4:$B$141,"Procedure",Master!$M$4:$M$141)</x:f>
        <x:v>0</x:v>
      </x:c>
      <x:c r="D7" s="26">
        <x:f>IF($C$10=0,0,C7/$C$10)</x:f>
        <x:v>0</x:v>
      </x:c>
    </x:row>
    <x:row r="8">
      <x:c r="A8" s="9" t="inlineStr">
        <x:is>
          <x:t xml:space="preserve">Design</x:t>
        </x:is>
      </x:c>
      <x:c r="B8" s="15">
        <x:f>COUNTIF(Master!$B$4:$B$141,"Design")</x:f>
        <x:v>20</x:v>
      </x:c>
      <x:c r="C8" s="15">
        <x:f>SUMIF(Master!$B$4:$B$141,"Design",Master!$M$4:$M$141)</x:f>
        <x:v>8</x:v>
      </x:c>
      <x:c r="D8" s="26">
        <x:f>IF($C$10=0,0,C8/$C$10)</x:f>
        <x:v>1</x:v>
      </x:c>
    </x:row>
    <x:row r="9">
      <x:c r="A9" s="9" t="inlineStr">
        <x:is>
          <x:t xml:space="preserve">Implementation</x:t>
        </x:is>
      </x:c>
      <x:c r="B9" s="15">
        <x:f>COUNTIF(Master!$B$4:$B$141,"Implementation")</x:f>
        <x:v>27</x:v>
      </x:c>
      <x:c r="C9" s="15">
        <x:f>SUMIF(Master!$B$4:$B$141,"Implementation",Master!$M$4:$M$141)</x:f>
        <x:v>0</x:v>
      </x:c>
      <x:c r="D9" s="26">
        <x:f>IF($C$10=0,0,C9/$C$10)</x:f>
        <x:v>0</x:v>
      </x:c>
    </x:row>
    <x:row r="10">
      <x:c r="A10" s="7" t="inlineStr">
        <x:is>
          <x:t xml:space="preserve">TOTAL</x:t>
        </x:is>
      </x:c>
      <x:c r="B10" s="27">
        <x:f>SUM(B5:B9)</x:f>
        <x:v>47</x:v>
      </x:c>
      <x:c r="C10" s="27">
        <x:f>SUM(C5:C9)</x:f>
        <x:v>8</x:v>
      </x:c>
      <x:c r="D10" s="28">
        <x:f>SUM(D5:D9)</x:f>
        <x:v>1</x:v>
      </x:c>
    </x:row>
    <x:row r="12">
      <x:c r="A12" s="2" t="inlineStr">
        <x:is>
          <x:t xml:space="preserve">Effort by Phase</x:t>
        </x:is>
      </x:c>
    </x:row>
    <x:row r="13">
      <x:c r="A13" s="12" t="inlineStr">
        <x:is>
          <x:t xml:space="preserve">Phase</x:t>
        </x:is>
      </x:c>
      <x:c r="B13" s="12" t="inlineStr">
        <x:is>
          <x:t xml:space="preserve">Tasks (#)</x:t>
        </x:is>
      </x:c>
      <x:c r="C13" s="12" t="inlineStr">
        <x:is>
          <x:t xml:space="preserve">Effort (PD)</x:t>
        </x:is>
      </x:c>
    </x:row>
    <x:row r="14">
      <x:c r="A14" s="15" t="n">
        <x:v>0</x:v>
      </x:c>
      <x:c r="B14" s="15">
        <x:f>COUNTIF(Master!$D$4:$D$141,0)</x:f>
        <x:v>3</x:v>
      </x:c>
      <x:c r="C14" s="15">
        <x:f>SUMIF(Master!$D$4:$D$141,0,Master!$M$4:$M$141)</x:f>
        <x:v>0</x:v>
      </x:c>
    </x:row>
    <x:row r="15">
      <x:c r="A15" s="15" t="n">
        <x:v>1</x:v>
      </x:c>
      <x:c r="B15" s="15">
        <x:f>COUNTIF(Master!$D$4:$D$141,1)</x:f>
        <x:v>24</x:v>
      </x:c>
      <x:c r="C15" s="15">
        <x:f>SUMIF(Master!$D$4:$D$141,1,Master!$M$4:$M$141)</x:f>
        <x:v>0</x:v>
      </x:c>
    </x:row>
    <x:row r="16">
      <x:c r="A16" s="15" t="n">
        <x:v>2</x:v>
      </x:c>
      <x:c r="B16" s="15">
        <x:f>COUNTIF(Master!$D$4:$D$141,2)</x:f>
        <x:v>12</x:v>
      </x:c>
      <x:c r="C16" s="15">
        <x:f>SUMIF(Master!$D$4:$D$141,2,Master!$M$4:$M$141)</x:f>
        <x:v>0</x:v>
      </x:c>
    </x:row>
    <x:row r="17">
      <x:c r="A17" s="15" t="n">
        <x:v>3</x:v>
      </x:c>
      <x:c r="B17" s="15">
        <x:f>COUNTIF(Master!$D$4:$D$141,3)</x:f>
        <x:v>6</x:v>
      </x:c>
      <x:c r="C17" s="15">
        <x:f>SUMIF(Master!$D$4:$D$141,3,Master!$M$4:$M$141)</x:f>
        <x:v>0</x:v>
      </x:c>
    </x:row>
    <x:row r="18">
      <x:c r="A18" s="15" t="n">
        <x:v>4</x:v>
      </x:c>
      <x:c r="B18" s="15">
        <x:f>COUNTIF(Master!$D$4:$D$141,4)</x:f>
        <x:v>1</x:v>
      </x:c>
      <x:c r="C18" s="15">
        <x:f>SUMIF(Master!$D$4:$D$141,4,Master!$M$4:$M$141)</x:f>
        <x:v>0</x:v>
      </x:c>
    </x:row>
    <x:row r="19">
      <x:c r="A19" s="15" t="n">
        <x:v>5</x:v>
      </x:c>
      <x:c r="B19" s="15">
        <x:f>COUNTIF(Master!$D$4:$D$141,5)</x:f>
        <x:v>1</x:v>
      </x:c>
      <x:c r="C19" s="15">
        <x:f>SUMIF(Master!$D$4:$D$141,5,Master!$M$4:$M$141)</x:f>
        <x:v>0</x:v>
      </x:c>
    </x:row>
    <x:row r="20">
      <x:c r="A20" s="15" t="n">
        <x:v>6</x:v>
      </x:c>
      <x:c r="B20" s="15">
        <x:f>COUNTIF(Master!$D$4:$D$141,6)</x:f>
        <x:v>0</x:v>
      </x:c>
      <x:c r="C20" s="15">
        <x:f>SUMIF(Master!$D$4:$D$141,6,Master!$M$4:$M$141)</x:f>
        <x:v>0</x:v>
      </x:c>
    </x:row>
    <x:row r="21">
      <x:c r="A21" s="27" t="inlineStr">
        <x:is>
          <x:t xml:space="preserve">TOTAL</x:t>
        </x:is>
      </x:c>
      <x:c r="B21" s="27">
        <x:f>SUM(B14:B20)</x:f>
        <x:v>47</x:v>
      </x:c>
      <x:c r="C21" s="27">
        <x:f>SUM(C14:C20)</x:f>
        <x:v>0</x:v>
      </x:c>
    </x:row>
    <x:row r="23">
      <x:c r="A23" s="2" t="inlineStr">
        <x:is>
          <x:t xml:space="preserve">Milestones</x:t>
        </x:is>
      </x:c>
    </x:row>
    <x:row r="24">
      <x:c r="A24" s="12" t="inlineStr">
        <x:is>
          <x:t xml:space="preserve">Task ID</x:t>
        </x:is>
      </x:c>
      <x:c r="B24" s="12" t="inlineStr">
        <x:is>
          <x:t xml:space="preserve">Milestone</x:t>
        </x:is>
      </x:c>
      <x:c r="C24" s="12" t="inlineStr">
        <x:is>
          <x:t xml:space="preserve">Planned End Date</x:t>
        </x:is>
      </x:c>
      <x:c r="D24" s="12" t="inlineStr">
        <x:is>
          <x:t xml:space="preserve">Owner</x:t>
        </x:is>
      </x:c>
    </x:row>
    <x:row r="25">
      <x:c r="A25" s="15" t="inlineStr">
        <x:is>
          <x:t xml:space="preserve">IMP-55</x:t>
        </x:is>
      </x:c>
      <x:c r="B25" s="9" t="str">
        <x:f>INDEX(Master!$F$4:$F$141,MATCH(A25,Master!$A$4:$A$141,0))</x:f>
        <x:v>Architecture review &amp; signoff</x:v>
      </x:c>
      <x:c r="C25" s="17" t="str">
        <x:f>INDEX(Master!$R$4:$R$141,MATCH(A25,Master!$A$4:$A$141,0))</x:f>
        <x:v>46091</x:v>
      </x:c>
      <x:c r="D25" s="9" t="str">
        <x:f>INDEX(Master!$I$4:$I$141,MATCH(A25,Master!$A$4:$A$141,0))</x:f>
        <x:v>Data Platform Architect</x:v>
      </x:c>
    </x:row>
    <x:row r="26">
      <x:c r="A26" s="15" t="inlineStr">
        <x:is>
          <x:t xml:space="preserve">IMP-57</x:t>
        </x:is>
      </x:c>
      <x:c r="B26" s="9" t="str">
        <x:f>INDEX(Master!$F$4:$F$141,MATCH(A26,Master!$A$4:$A$141,0))</x:f>
        <x:v>MVP engine end-to-end demo (2 sources)</x:v>
      </x:c>
      <x:c r="C26" s="17" t="str">
        <x:f>INDEX(Master!$R$4:$R$141,MATCH(A26,Master!$A$4:$A$141,0))</x:f>
        <x:v>46126</x:v>
      </x:c>
      <x:c r="D26" s="9" t="str">
        <x:f>INDEX(Master!$I$4:$I$141,MATCH(A26,Master!$A$4:$A$141,0))</x:f>
        <x:v>Data Engineer</x:v>
      </x:c>
    </x:row>
    <x:row r="27">
      <x:c r="A27" s="15" t="inlineStr">
        <x:is>
          <x:t xml:space="preserve">IMP-56</x:t>
        </x:is>
      </x:c>
      <x:c r="B27" s="9" t="str">
        <x:f>INDEX(Master!$F$4:$F$141,MATCH(A27,Master!$A$4:$A$141,0))</x:f>
        <x:v>Security design review &amp; signoff</x:v>
      </x:c>
      <x:c r="C27" s="17" t="str">
        <x:f>INDEX(Master!$R$4:$R$141,MATCH(A27,Master!$A$4:$A$141,0))</x:f>
        <x:v>46120</x:v>
      </x:c>
      <x:c r="D27" s="9" t="str">
        <x:f>INDEX(Master!$I$4:$I$141,MATCH(A27,Master!$A$4:$A$141,0))</x:f>
        <x:v>Security/Identity Eng</x:v>
      </x:c>
    </x:row>
    <x:row r="28">
      <x:c r="A28" s="15" t="inlineStr">
        <x:is>
          <x:t xml:space="preserve">IMP-58</x:t>
        </x:is>
      </x:c>
      <x:c r="B28" s="9">
        <x:f>INDEX(Master!$F$4:$F$141,MATCH(A28,Master!$A$4:$A$141,0))</x:f>
        <x:v>42</x:v>
      </x:c>
      <x:c r="C28" s="17">
        <x:f>INDEX(Master!$R$4:$R$141,MATCH(A28,Master!$A$4:$A$141,0))</x:f>
        <x:v>42</x:v>
      </x:c>
      <x:c r="D28" s="9">
        <x:f>INDEX(Master!$I$4:$I$141,MATCH(A28,Master!$A$4:$A$141,0))</x:f>
        <x:v>42</x:v>
      </x:c>
    </x:row>
    <x:row r="29">
      <x:c r="A29" s="15" t="inlineStr">
        <x:is>
          <x:t xml:space="preserve">IMP-39</x:t>
        </x:is>
      </x:c>
      <x:c r="B29" s="9">
        <x:f>INDEX(Master!$F$4:$F$141,MATCH(A29,Master!$A$4:$A$141,0))</x:f>
        <x:v>42</x:v>
      </x:c>
      <x:c r="C29" s="17">
        <x:f>INDEX(Master!$R$4:$R$141,MATCH(A29,Master!$A$4:$A$141,0))</x:f>
        <x:v>42</x:v>
      </x:c>
      <x:c r="D29" s="9">
        <x:f>INDEX(Master!$I$4:$I$141,MATCH(A29,Master!$A$4:$A$141,0))</x:f>
        <x:v>42</x:v>
      </x:c>
    </x:row>
    <x:row r="30">
      <x:c r="A30" s="15" t="inlineStr">
        <x:is>
          <x:t xml:space="preserve">IMP-41</x:t>
        </x:is>
      </x:c>
      <x:c r="B30" s="9">
        <x:f>INDEX(Master!$F$4:$F$141,MATCH(A30,Master!$A$4:$A$141,0))</x:f>
        <x:v>42</x:v>
      </x:c>
      <x:c r="C30" s="17">
        <x:f>INDEX(Master!$R$4:$R$141,MATCH(A30,Master!$A$4:$A$141,0))</x:f>
        <x:v>42</x:v>
      </x:c>
      <x:c r="D30" s="9">
        <x:f>INDEX(Master!$I$4:$I$141,MATCH(A30,Master!$A$4:$A$141,0))</x:f>
        <x:v>42</x:v>
      </x:c>
    </x:row>
    <x:row r="31">
      <x:c r="A31" s="15" t="inlineStr">
        <x:is>
          <x:t xml:space="preserve">IMP-43</x:t>
        </x:is>
      </x:c>
      <x:c r="B31" s="9">
        <x:f>INDEX(Master!$F$4:$F$141,MATCH(A31,Master!$A$4:$A$141,0))</x:f>
        <x:v>42</x:v>
      </x:c>
      <x:c r="C31" s="17">
        <x:f>INDEX(Master!$R$4:$R$141,MATCH(A31,Master!$A$4:$A$141,0))</x:f>
        <x:v>42</x:v>
      </x:c>
      <x:c r="D31" s="9">
        <x:f>INDEX(Master!$I$4:$I$141,MATCH(A31,Master!$A$4:$A$141,0))</x:f>
        <x:v>42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36" customWidth="1"/>
    <x:col min="4" max="4" width="52" customWidth="1"/>
    <x:col min="5" max="5" width="22" customWidth="1"/>
    <x:col min="6" max="6" width="18" customWidth="1"/>
    <x:col min="7" max="7" width="12" customWidth="1"/>
    <x:col min="8" max="8" width="10" customWidth="1"/>
    <x:col min="9" max="9" width="18" customWidth="1"/>
    <x:col min="10" max="10" width="16" customWidth="1"/>
    <x:col min="11" max="11" width="28" customWidth="1"/>
    <x:col min="12" max="12" width="22" customWidth="1"/>
    <x:col min="13" max="13" width="20" customWidth="1"/>
  </x:cols>
  <x:sheetData>
    <x:row r="1">
      <x:c r="A1" s="5" t="inlineStr">
        <x:is>
          <x:t xml:space="preserve">Governance Artifact Register (audit-ready)</x:t>
        </x:is>
      </x:c>
    </x:row>
    <x:row r="2">
      <x:c r="A2" s="11" t="inlineStr">
        <x:is>
          <x:t xml:space="preserve">Track policies, processes, procedures/runbooks, design specs and handbook. Fill Doc Link &amp; Evidence Link.</x:t>
        </x:is>
      </x:c>
    </x:row>
    <x:row r="3" ht="28" customHeight="1">
      <x:c r="A3" s="12" t="inlineStr">
        <x:is>
          <x:t xml:space="preserve">Artifact ID</x:t>
        </x:is>
      </x:c>
      <x:c r="B3" s="12" t="inlineStr">
        <x:is>
          <x:t xml:space="preserve">Type</x:t>
        </x:is>
      </x:c>
      <x:c r="C3" s="12" t="inlineStr">
        <x:is>
          <x:t xml:space="preserve">Name</x:t>
        </x:is>
      </x:c>
      <x:c r="D3" s="12" t="inlineStr">
        <x:is>
          <x:t xml:space="preserve">Description</x:t>
        </x:is>
      </x:c>
      <x:c r="E3" s="12" t="inlineStr">
        <x:is>
          <x:t xml:space="preserve">Owner</x:t>
        </x:is>
      </x:c>
      <x:c r="F3" s="12" t="inlineStr">
        <x:is>
          <x:t xml:space="preserve">Approver</x:t>
        </x:is>
      </x:c>
      <x:c r="G3" s="12" t="inlineStr">
        <x:is>
          <x:t xml:space="preserve">Status</x:t>
        </x:is>
      </x:c>
      <x:c r="H3" s="12" t="inlineStr">
        <x:is>
          <x:t xml:space="preserve">Version</x:t>
        </x:is>
      </x:c>
      <x:c r="I3" s="12" t="inlineStr">
        <x:is>
          <x:t xml:space="preserve">Review Cadence (months)</x:t>
        </x:is>
      </x:c>
      <x:c r="J3" s="12" t="inlineStr">
        <x:is>
          <x:t xml:space="preserve">Next Review Date</x:t>
        </x:is>
      </x:c>
      <x:c r="K3" s="12" t="inlineStr">
        <x:is>
          <x:t xml:space="preserve">Doc Link</x:t>
        </x:is>
      </x:c>
      <x:c r="L3" s="12" t="inlineStr">
        <x:is>
          <x:t xml:space="preserve">Evidence Link</x:t>
        </x:is>
      </x:c>
      <x:c r="M3" s="12" t="inlineStr">
        <x:is>
          <x:t xml:space="preserve">Related Task IDs</x:t>
        </x:is>
      </x:c>
    </x:row>
    <x:row r="4" ht="36" customHeight="1">
      <x:c r="A4" s="9" t="inlineStr">
        <x:is>
          <x:t xml:space="preserve">POL-001</x:t>
        </x:is>
      </x:c>
      <x:c r="B4" s="9" t="inlineStr">
        <x:is>
          <x:t xml:space="preserve">Policy</x:t>
        </x:is>
      </x:c>
      <x:c r="C4" s="14" t="inlineStr">
        <x:is>
          <x:t xml:space="preserve">Incident severity &amp; defect prioritization (P0–P3)</x:t>
        </x:is>
      </x:c>
      <x:c r="D4" s="14" t="inlineStr">
        <x:is>
          <x:t xml:space="preserve">Defines P0–P3, response SLAs, escalation and routing rules.</x:t>
        </x:is>
      </x:c>
      <x:c r="E4" s="9" t="inlineStr">
        <x:is>
          <x:t xml:space="preserve">SRE/Operations</x:t>
        </x:is>
      </x:c>
      <x:c r="F4" s="9" t="inlineStr">
        <x:is>
          <x:t xml:space="preserve">Product Owner</x:t>
        </x:is>
      </x:c>
      <x:c r="G4" s="9" t="inlineStr">
        <x:is>
          <x:t xml:space="preserve">Draft</x:t>
        </x:is>
      </x:c>
      <x:c r="H4" s="9" t="inlineStr">
        <x:is>
          <x:t xml:space="preserve">0.1</x:t>
        </x:is>
      </x:c>
      <x:c r="I4" s="9" t="n">
        <x:v>6</x:v>
      </x:c>
      <x:c r="J4" s="29">
        <x:f>IF(G4&lt;&gt;"Approved","",EDATE(TODAY(),I4))</x:f>
      </x:c>
      <x:c r="K4" s="14" t="inlineStr">
        <x:is>
          <x:t xml:space="preserve"/>
        </x:is>
      </x:c>
      <x:c r="L4" s="14" t="inlineStr">
        <x:is>
          <x:t xml:space="preserve"/>
        </x:is>
      </x:c>
      <x:c r="M4" s="14" t="inlineStr">
        <x:is>
          <x:t xml:space="preserve">PLY-02</x:t>
        </x:is>
      </x:c>
    </x:row>
    <x:row r="5" ht="36" customHeight="1">
      <x:c r="A5" s="9" t="inlineStr">
        <x:is>
          <x:t xml:space="preserve">POL-002</x:t>
        </x:is>
      </x:c>
      <x:c r="B5" s="9" t="inlineStr">
        <x:is>
          <x:t xml:space="preserve">Policy</x:t>
        </x:is>
      </x:c>
      <x:c r="C5" s="14" t="inlineStr">
        <x:is>
          <x:t xml:space="preserve">Service account &amp; credential policy</x:t>
        </x:is>
      </x:c>
      <x:c r="D5" s="14" t="inlineStr">
        <x:is>
          <x:t xml:space="preserve">No personal tokens; service principals; least privilege; audit requirements.</x:t>
        </x:is>
      </x:c>
      <x:c r="E5" s="9" t="inlineStr">
        <x:is>
          <x:t xml:space="preserve">Security/Identity Eng</x:t>
        </x:is>
      </x:c>
      <x:c r="F5" s="9" t="inlineStr">
        <x:is>
          <x:t xml:space="preserve">Security/Identity Eng</x:t>
        </x:is>
      </x:c>
      <x:c r="G5" s="9" t="inlineStr">
        <x:is>
          <x:t xml:space="preserve">Draft</x:t>
        </x:is>
      </x:c>
      <x:c r="H5" s="9" t="inlineStr">
        <x:is>
          <x:t xml:space="preserve">0.1</x:t>
        </x:is>
      </x:c>
      <x:c r="I5" s="9" t="n">
        <x:v>6</x:v>
      </x:c>
      <x:c r="J5" s="29">
        <x:f>IF(G5&lt;&gt;"Approved","",EDATE(TODAY(),I5))</x:f>
      </x:c>
      <x:c r="K5" s="14" t="inlineStr">
        <x:is>
          <x:t xml:space="preserve"/>
        </x:is>
      </x:c>
      <x:c r="L5" s="14" t="inlineStr">
        <x:is>
          <x:t xml:space="preserve"/>
        </x:is>
      </x:c>
      <x:c r="M5" s="14" t="inlineStr">
        <x:is>
          <x:t xml:space="preserve">PLY-03</x:t>
        </x:is>
      </x:c>
    </x:row>
    <x:row r="6" ht="36" customHeight="1">
      <x:c r="A6" s="9" t="inlineStr">
        <x:is>
          <x:t xml:space="preserve">POL-003</x:t>
        </x:is>
      </x:c>
      <x:c r="B6" s="9" t="inlineStr">
        <x:is>
          <x:t xml:space="preserve">Policy</x:t>
        </x:is>
      </x:c>
      <x:c r="C6" s="14" t="inlineStr">
        <x:is>
          <x:t xml:space="preserve">Credential rotation policy</x:t>
        </x:is>
      </x:c>
      <x:c r="D6" s="14" t="inlineStr">
        <x:is>
          <x:t xml:space="preserve">Rotation frequency, emergency rotation, break-glass, audit evidence.</x:t>
        </x:is>
      </x:c>
      <x:c r="E6" s="9" t="inlineStr">
        <x:is>
          <x:t xml:space="preserve">Security/Identity Eng</x:t>
        </x:is>
      </x:c>
      <x:c r="F6" s="9" t="inlineStr">
        <x:is>
          <x:t xml:space="preserve">Security/Identity Eng</x:t>
        </x:is>
      </x:c>
      <x:c r="G6" s="9" t="inlineStr">
        <x:is>
          <x:t xml:space="preserve">Draft</x:t>
        </x:is>
      </x:c>
      <x:c r="H6" s="9" t="inlineStr">
        <x:is>
          <x:t xml:space="preserve">0.1</x:t>
        </x:is>
      </x:c>
      <x:c r="I6" s="9" t="n">
        <x:v>6</x:v>
      </x:c>
      <x:c r="J6" s="29">
        <x:f>IF(G6&lt;&gt;"Approved","",EDATE(TODAY(),I6))</x:f>
      </x:c>
      <x:c r="K6" s="14" t="inlineStr">
        <x:is>
          <x:t xml:space="preserve"/>
        </x:is>
      </x:c>
      <x:c r="L6" s="14" t="inlineStr">
        <x:is>
          <x:t xml:space="preserve"/>
        </x:is>
      </x:c>
      <x:c r="M6" s="14" t="inlineStr">
        <x:is>
          <x:t xml:space="preserve">PLY-04</x:t>
        </x:is>
      </x:c>
    </x:row>
    <x:row r="7" ht="36" customHeight="1">
      <x:c r="A7" s="9" t="inlineStr">
        <x:is>
          <x:t xml:space="preserve">POL-004</x:t>
        </x:is>
      </x:c>
      <x:c r="B7" s="9" t="inlineStr">
        <x:is>
          <x:t xml:space="preserve">Policy</x:t>
        </x:is>
      </x:c>
      <x:c r="C7" s="14" t="inlineStr">
        <x:is>
          <x:t xml:space="preserve">Alerting &amp; routing policy</x:t>
        </x:is>
      </x:c>
      <x:c r="D7" s="14" t="inlineStr">
        <x:is>
          <x:t xml:space="preserve">Paging vs ticketing, quiet hours, dedupe/suppression, escalation paths.</x:t>
        </x:is>
      </x:c>
      <x:c r="E7" s="9" t="inlineStr">
        <x:is>
          <x:t xml:space="preserve">SRE/Operations</x:t>
        </x:is>
      </x:c>
      <x:c r="F7" s="9" t="inlineStr">
        <x:is>
          <x:t xml:space="preserve">Product Owner</x:t>
        </x:is>
      </x:c>
      <x:c r="G7" s="9" t="inlineStr">
        <x:is>
          <x:t xml:space="preserve">Draft</x:t>
        </x:is>
      </x:c>
      <x:c r="H7" s="9" t="inlineStr">
        <x:is>
          <x:t xml:space="preserve">0.1</x:t>
        </x:is>
      </x:c>
      <x:c r="I7" s="9" t="n">
        <x:v>6</x:v>
      </x:c>
      <x:c r="J7" s="29">
        <x:f>IF(G7&lt;&gt;"Approved","",EDATE(TODAY(),I7))</x:f>
      </x:c>
      <x:c r="K7" s="14" t="inlineStr">
        <x:is>
          <x:t xml:space="preserve"/>
        </x:is>
      </x:c>
      <x:c r="L7" s="14" t="inlineStr">
        <x:is>
          <x:t xml:space="preserve"/>
        </x:is>
      </x:c>
      <x:c r="M7" s="14" t="inlineStr">
        <x:is>
          <x:t xml:space="preserve">PLY-09</x:t>
        </x:is>
      </x:c>
    </x:row>
    <x:row r="8" ht="36" customHeight="1">
      <x:c r="A8" s="9" t="inlineStr">
        <x:is>
          <x:t xml:space="preserve">POL-005</x:t>
        </x:is>
      </x:c>
      <x:c r="B8" s="9" t="inlineStr">
        <x:is>
          <x:t xml:space="preserve">Policy</x:t>
        </x:is>
      </x:c>
      <x:c r="C8" s="14" t="inlineStr">
        <x:is>
          <x:t xml:space="preserve">Data classification policy</x:t>
        </x:is>
      </x:c>
      <x:c r="D8" s="14" t="inlineStr">
        <x:is>
          <x:t xml:space="preserve">Classification levels, PII handling, encryption/masking and access rules.</x:t>
        </x:is>
      </x:c>
      <x:c r="E8" s="9" t="inlineStr">
        <x:is>
          <x:t xml:space="preserve">Security/Identity Eng</x:t>
        </x:is>
      </x:c>
      <x:c r="F8" s="9" t="inlineStr">
        <x:is>
          <x:t xml:space="preserve">Security/Identity Eng</x:t>
        </x:is>
      </x:c>
      <x:c r="G8" s="9" t="inlineStr">
        <x:is>
          <x:t xml:space="preserve">Draft</x:t>
        </x:is>
      </x:c>
      <x:c r="H8" s="9" t="inlineStr">
        <x:is>
          <x:t xml:space="preserve">0.1</x:t>
        </x:is>
      </x:c>
      <x:c r="I8" s="9" t="n">
        <x:v>6</x:v>
      </x:c>
      <x:c r="J8" s="29">
        <x:f>IF(G8&lt;&gt;"Approved","",EDATE(TODAY(),I8))</x:f>
      </x:c>
      <x:c r="K8" s="14" t="inlineStr">
        <x:is>
          <x:t xml:space="preserve"/>
        </x:is>
      </x:c>
      <x:c r="L8" s="14" t="inlineStr">
        <x:is>
          <x:t xml:space="preserve"/>
        </x:is>
      </x:c>
      <x:c r="M8" s="14" t="inlineStr">
        <x:is>
          <x:t xml:space="preserve">PLY-05</x:t>
        </x:is>
      </x:c>
    </x:row>
    <x:row r="9" ht="36" customHeight="1">
      <x:c r="A9" s="9" t="inlineStr">
        <x:is>
          <x:t xml:space="preserve">POL-006</x:t>
        </x:is>
      </x:c>
      <x:c r="B9" s="9" t="inlineStr">
        <x:is>
          <x:t xml:space="preserve">Policy</x:t>
        </x:is>
      </x:c>
      <x:c r="C9" s="14" t="inlineStr">
        <x:is>
          <x:t xml:space="preserve">Retention policy (Bronze/logs/audit)</x:t>
        </x:is>
      </x:c>
      <x:c r="D9" s="14" t="inlineStr">
        <x:is>
          <x:t xml:space="preserve">Retention periods and purge requirements; legal hold exceptions.</x:t>
        </x:is>
      </x:c>
      <x:c r="E9" s="9" t="inlineStr">
        <x:is>
          <x:t xml:space="preserve">Data Platform Architect</x:t>
        </x:is>
      </x:c>
      <x:c r="F9" s="9" t="inlineStr">
        <x:is>
          <x:t xml:space="preserve">Security/Identity Eng</x:t>
        </x:is>
      </x:c>
      <x:c r="G9" s="9" t="inlineStr">
        <x:is>
          <x:t xml:space="preserve">Draft</x:t>
        </x:is>
      </x:c>
      <x:c r="H9" s="9" t="inlineStr">
        <x:is>
          <x:t xml:space="preserve">0.1</x:t>
        </x:is>
      </x:c>
      <x:c r="I9" s="9" t="n">
        <x:v>6</x:v>
      </x:c>
      <x:c r="J9" s="29">
        <x:f>IF(G9&lt;&gt;"Approved","",EDATE(TODAY(),I9))</x:f>
      </x:c>
      <x:c r="K9" s="14" t="inlineStr">
        <x:is>
          <x:t xml:space="preserve"/>
        </x:is>
      </x:c>
      <x:c r="L9" s="14" t="inlineStr">
        <x:is>
          <x:t xml:space="preserve"/>
        </x:is>
      </x:c>
      <x:c r="M9" s="14" t="inlineStr">
        <x:is>
          <x:t xml:space="preserve">PLY-06</x:t>
        </x:is>
      </x:c>
    </x:row>
    <x:row r="10" ht="36" customHeight="1">
      <x:c r="A10" s="9" t="inlineStr">
        <x:is>
          <x:t xml:space="preserve">POL-007</x:t>
        </x:is>
      </x:c>
      <x:c r="B10" s="9" t="inlineStr">
        <x:is>
          <x:t xml:space="preserve">Policy</x:t>
        </x:is>
      </x:c>
      <x:c r="C10" s="14" t="inlineStr">
        <x:is>
          <x:t xml:space="preserve">Change &amp; release management policy</x:t>
        </x:is>
      </x:c>
      <x:c r="D10" s="14" t="inlineStr">
        <x:is>
          <x:t xml:space="preserve">Promotion gates, approvals, freeze windows, hotfix rules and rollback expectations.</x:t>
        </x:is>
      </x:c>
      <x:c r="E10" s="9" t="inlineStr">
        <x:is>
          <x:t xml:space="preserve">Release Manager</x:t>
        </x:is>
      </x:c>
      <x:c r="F10" s="9" t="inlineStr">
        <x:is>
          <x:t xml:space="preserve">Product Owner</x:t>
        </x:is>
      </x:c>
      <x:c r="G10" s="9" t="inlineStr">
        <x:is>
          <x:t xml:space="preserve">Draft</x:t>
        </x:is>
      </x:c>
      <x:c r="H10" s="9" t="inlineStr">
        <x:is>
          <x:t xml:space="preserve">0.1</x:t>
        </x:is>
      </x:c>
      <x:c r="I10" s="9" t="n">
        <x:v>6</x:v>
      </x:c>
      <x:c r="J10" s="29">
        <x:f>IF(G10&lt;&gt;"Approved","",EDATE(TODAY(),I10))</x:f>
      </x:c>
      <x:c r="K10" s="14" t="inlineStr">
        <x:is>
          <x:t xml:space="preserve"/>
        </x:is>
      </x:c>
      <x:c r="L10" s="14" t="inlineStr">
        <x:is>
          <x:t xml:space="preserve"/>
        </x:is>
      </x:c>
      <x:c r="M10" s="14" t="inlineStr">
        <x:is>
          <x:t xml:space="preserve">PLY-07</x:t>
        </x:is>
      </x:c>
    </x:row>
    <x:row r="11" ht="36" customHeight="1">
      <x:c r="A11" s="9" t="inlineStr">
        <x:is>
          <x:t xml:space="preserve">POL-008</x:t>
        </x:is>
      </x:c>
      <x:c r="B11" s="9" t="inlineStr">
        <x:is>
          <x:t xml:space="preserve">Policy</x:t>
        </x:is>
      </x:c>
      <x:c r="C11" s="14" t="inlineStr">
        <x:is>
          <x:t xml:space="preserve">Access control policy (Unity Catalog)</x:t>
        </x:is>
      </x:c>
      <x:c r="D11" s="14" t="inlineStr">
        <x:is>
          <x:t xml:space="preserve">Who can read/write Bronze/metrics; access review cadence.</x:t>
        </x:is>
      </x:c>
      <x:c r="E11" s="9" t="inlineStr">
        <x:is>
          <x:t xml:space="preserve">Security/Identity Eng</x:t>
        </x:is>
      </x:c>
      <x:c r="F11" s="9" t="inlineStr">
        <x:is>
          <x:t xml:space="preserve">Security/Identity Eng</x:t>
        </x:is>
      </x:c>
      <x:c r="G11" s="9" t="inlineStr">
        <x:is>
          <x:t xml:space="preserve">Draft</x:t>
        </x:is>
      </x:c>
      <x:c r="H11" s="9" t="inlineStr">
        <x:is>
          <x:t xml:space="preserve">0.1</x:t>
        </x:is>
      </x:c>
      <x:c r="I11" s="9" t="n">
        <x:v>6</x:v>
      </x:c>
      <x:c r="J11" s="29">
        <x:f>IF(G11&lt;&gt;"Approved","",EDATE(TODAY(),I11))</x:f>
      </x:c>
      <x:c r="K11" s="14" t="inlineStr">
        <x:is>
          <x:t xml:space="preserve"/>
        </x:is>
      </x:c>
      <x:c r="L11" s="14" t="inlineStr">
        <x:is>
          <x:t xml:space="preserve"/>
        </x:is>
      </x:c>
      <x:c r="M11" s="14" t="inlineStr">
        <x:is>
          <x:t xml:space="preserve">PLY-11</x:t>
        </x:is>
      </x:c>
    </x:row>
    <x:row r="12" ht="36" customHeight="1">
      <x:c r="A12" s="9" t="inlineStr">
        <x:is>
          <x:t xml:space="preserve">POL-009</x:t>
        </x:is>
      </x:c>
      <x:c r="B12" s="9" t="inlineStr">
        <x:is>
          <x:t xml:space="preserve">Policy</x:t>
        </x:is>
      </x:c>
      <x:c r="C12" s="14" t="inlineStr">
        <x:is>
          <x:t xml:space="preserve">SLO policy (availability/freshness/latency)</x:t>
        </x:is>
      </x:c>
      <x:c r="D12" s="14" t="inlineStr">
        <x:is>
          <x:t xml:space="preserve">SLO targets by tier and measurement approach.</x:t>
        </x:is>
      </x:c>
      <x:c r="E12" s="9" t="inlineStr">
        <x:is>
          <x:t xml:space="preserve">Product Owner</x:t>
        </x:is>
      </x:c>
      <x:c r="F12" s="9" t="inlineStr">
        <x:is>
          <x:t xml:space="preserve">Product Owner</x:t>
        </x:is>
      </x:c>
      <x:c r="G12" s="9" t="inlineStr">
        <x:is>
          <x:t xml:space="preserve">Draft</x:t>
        </x:is>
      </x:c>
      <x:c r="H12" s="9" t="inlineStr">
        <x:is>
          <x:t xml:space="preserve">0.1</x:t>
        </x:is>
      </x:c>
      <x:c r="I12" s="9" t="n">
        <x:v>6</x:v>
      </x:c>
      <x:c r="J12" s="29">
        <x:f>IF(G12&lt;&gt;"Approved","",EDATE(TODAY(),I12))</x:f>
      </x:c>
      <x:c r="K12" s="14" t="inlineStr">
        <x:is>
          <x:t xml:space="preserve"/>
        </x:is>
      </x:c>
      <x:c r="L12" s="14" t="inlineStr">
        <x:is>
          <x:t xml:space="preserve"/>
        </x:is>
      </x:c>
      <x:c r="M12" s="14" t="inlineStr">
        <x:is>
          <x:t xml:space="preserve">PLY-10</x:t>
        </x:is>
      </x:c>
    </x:row>
    <x:row r="13" ht="36" customHeight="1">
      <x:c r="A13" s="9" t="inlineStr">
        <x:is>
          <x:t xml:space="preserve">POL-010</x:t>
        </x:is>
      </x:c>
      <x:c r="B13" s="9" t="inlineStr">
        <x:is>
          <x:t xml:space="preserve">Policy</x:t>
        </x:is>
      </x:c>
      <x:c r="C13" s="14" t="inlineStr">
        <x:is>
          <x:t xml:space="preserve">Onboarding acceptance criteria policy</x:t>
        </x:is>
      </x:c>
      <x:c r="D13" s="14" t="inlineStr">
        <x:is>
          <x:t xml:space="preserve">Mandatory metadata and tests required before production enablement.</x:t>
        </x:is>
      </x:c>
      <x:c r="E13" s="9" t="inlineStr">
        <x:is>
          <x:t xml:space="preserve">Data Platform Architect</x:t>
        </x:is>
      </x:c>
      <x:c r="F13" s="9" t="inlineStr">
        <x:is>
          <x:t xml:space="preserve">Product Owner</x:t>
        </x:is>
      </x:c>
      <x:c r="G13" s="9" t="inlineStr">
        <x:is>
          <x:t xml:space="preserve">Draft</x:t>
        </x:is>
      </x:c>
      <x:c r="H13" s="9" t="inlineStr">
        <x:is>
          <x:t xml:space="preserve">0.1</x:t>
        </x:is>
      </x:c>
      <x:c r="I13" s="9" t="n">
        <x:v>6</x:v>
      </x:c>
      <x:c r="J13" s="29">
        <x:f>IF(G13&lt;&gt;"Approved","",EDATE(TODAY(),I13))</x:f>
      </x:c>
      <x:c r="K13" s="14" t="inlineStr">
        <x:is>
          <x:t xml:space="preserve"/>
        </x:is>
      </x:c>
      <x:c r="L13" s="14" t="inlineStr">
        <x:is>
          <x:t xml:space="preserve"/>
        </x:is>
      </x:c>
      <x:c r="M13" s="14" t="inlineStr">
        <x:is>
          <x:t xml:space="preserve">PLY-14</x:t>
        </x:is>
      </x:c>
    </x:row>
    <x:row r="14" ht="36" customHeight="1">
      <x:c r="A14" s="9" t="inlineStr">
        <x:is>
          <x:t xml:space="preserve">PRC-001</x:t>
        </x:is>
      </x:c>
      <x:c r="B14" s="9" t="inlineStr">
        <x:is>
          <x:t xml:space="preserve">Process</x:t>
        </x:is>
      </x:c>
      <x:c r="C14" s="14" t="inlineStr">
        <x:is>
          <x:t xml:space="preserve">Incident triage workflow</x:t>
        </x:is>
      </x:c>
      <x:c r="D14" s="14" t="inlineStr">
        <x:is>
          <x:t xml:space="preserve">Triage, severity assignment, communications, escalation and closure.</x:t>
        </x:is>
      </x:c>
      <x:c r="E14" s="9" t="inlineStr">
        <x:is>
          <x:t xml:space="preserve">SRE/Operations</x:t>
        </x:is>
      </x:c>
      <x:c r="F14" s="9" t="inlineStr">
        <x:is>
          <x:t xml:space="preserve">Product Owner</x:t>
        </x:is>
      </x:c>
      <x:c r="G14" s="9" t="inlineStr">
        <x:is>
          <x:t xml:space="preserve">Draft</x:t>
        </x:is>
      </x:c>
      <x:c r="H14" s="9" t="inlineStr">
        <x:is>
          <x:t xml:space="preserve">0.1</x:t>
        </x:is>
      </x:c>
      <x:c r="I14" s="9" t="n">
        <x:v>6</x:v>
      </x:c>
      <x:c r="J14" s="29">
        <x:f>IF(G14&lt;&gt;"Approved","",EDATE(TODAY(),I14))</x:f>
      </x:c>
      <x:c r="K14" s="14" t="inlineStr">
        <x:is>
          <x:t xml:space="preserve"/>
        </x:is>
      </x:c>
      <x:c r="L14" s="14" t="inlineStr">
        <x:is>
          <x:t xml:space="preserve"/>
        </x:is>
      </x:c>
      <x:c r="M14" s="14" t="inlineStr">
        <x:is>
          <x:t xml:space="preserve">PRC-02</x:t>
        </x:is>
      </x:c>
    </x:row>
    <x:row r="15" ht="36" customHeight="1">
      <x:c r="A15" s="9" t="inlineStr">
        <x:is>
          <x:t xml:space="preserve">PRC-002</x:t>
        </x:is>
      </x:c>
      <x:c r="B15" s="9" t="inlineStr">
        <x:is>
          <x:t xml:space="preserve">Process</x:t>
        </x:is>
      </x:c>
      <x:c r="C15" s="14" t="inlineStr">
        <x:is>
          <x:t xml:space="preserve">Alert response workflow</x:t>
        </x:is>
      </x:c>
      <x:c r="D15" s="14" t="inlineStr">
        <x:is>
          <x:t xml:space="preserve">Acknowledge, investigate, mitigate, handoff to owners, close.</x:t>
        </x:is>
      </x:c>
      <x:c r="E15" s="9" t="inlineStr">
        <x:is>
          <x:t xml:space="preserve">SRE/Operations</x:t>
        </x:is>
      </x:c>
      <x:c r="F15" s="9" t="inlineStr">
        <x:is>
          <x:t xml:space="preserve">Product Owner</x:t>
        </x:is>
      </x:c>
      <x:c r="G15" s="9" t="inlineStr">
        <x:is>
          <x:t xml:space="preserve">Draft</x:t>
        </x:is>
      </x:c>
      <x:c r="H15" s="9" t="inlineStr">
        <x:is>
          <x:t xml:space="preserve">0.1</x:t>
        </x:is>
      </x:c>
      <x:c r="I15" s="9" t="n">
        <x:v>6</x:v>
      </x:c>
      <x:c r="J15" s="29">
        <x:f>IF(G15&lt;&gt;"Approved","",EDATE(TODAY(),I15))</x:f>
      </x:c>
      <x:c r="K15" s="14" t="inlineStr">
        <x:is>
          <x:t xml:space="preserve"/>
        </x:is>
      </x:c>
      <x:c r="L15" s="14" t="inlineStr">
        <x:is>
          <x:t xml:space="preserve"/>
        </x:is>
      </x:c>
      <x:c r="M15" s="14" t="inlineStr">
        <x:is>
          <x:t xml:space="preserve">PRC-03</x:t>
        </x:is>
      </x:c>
    </x:row>
    <x:row r="16" ht="36" customHeight="1">
      <x:c r="A16" s="9" t="inlineStr">
        <x:is>
          <x:t xml:space="preserve">PRC-003</x:t>
        </x:is>
      </x:c>
      <x:c r="B16" s="9" t="inlineStr">
        <x:is>
          <x:t xml:space="preserve">Process</x:t>
        </x:is>
      </x:c>
      <x:c r="C16" s="14" t="inlineStr">
        <x:is>
          <x:t xml:space="preserve">Credential rotation workflow</x:t>
        </x:is>
      </x:c>
      <x:c r="D16" s="14" t="inlineStr">
        <x:is>
          <x:t xml:space="preserve">Rotation run, smoke tests, rollback and evidence capture.</x:t>
        </x:is>
      </x:c>
      <x:c r="E16" s="9" t="inlineStr">
        <x:is>
          <x:t xml:space="preserve">Security/Identity Eng</x:t>
        </x:is>
      </x:c>
      <x:c r="F16" s="9" t="inlineStr">
        <x:is>
          <x:t xml:space="preserve">Security/Identity Eng</x:t>
        </x:is>
      </x:c>
      <x:c r="G16" s="9" t="inlineStr">
        <x:is>
          <x:t xml:space="preserve">Draft</x:t>
        </x:is>
      </x:c>
      <x:c r="H16" s="9" t="inlineStr">
        <x:is>
          <x:t xml:space="preserve">0.1</x:t>
        </x:is>
      </x:c>
      <x:c r="I16" s="9" t="n">
        <x:v>6</x:v>
      </x:c>
      <x:c r="J16" s="29">
        <x:f>IF(G16&lt;&gt;"Approved","",EDATE(TODAY(),I16))</x:f>
      </x:c>
      <x:c r="K16" s="14" t="inlineStr">
        <x:is>
          <x:t xml:space="preserve"/>
        </x:is>
      </x:c>
      <x:c r="L16" s="14" t="inlineStr">
        <x:is>
          <x:t xml:space="preserve"/>
        </x:is>
      </x:c>
      <x:c r="M16" s="14" t="inlineStr">
        <x:is>
          <x:t xml:space="preserve">PRC-04</x:t>
        </x:is>
      </x:c>
    </x:row>
    <x:row r="17" ht="36" customHeight="1">
      <x:c r="A17" s="9" t="inlineStr">
        <x:is>
          <x:t xml:space="preserve">PRC-004</x:t>
        </x:is>
      </x:c>
      <x:c r="B17" s="9" t="inlineStr">
        <x:is>
          <x:t xml:space="preserve">Process</x:t>
        </x:is>
      </x:c>
      <x:c r="C17" s="14" t="inlineStr">
        <x:is>
          <x:t xml:space="preserve">Release promotion workflow (Dev→Stage→Prod)</x:t>
        </x:is>
      </x:c>
      <x:c r="D17" s="14" t="inlineStr">
        <x:is>
          <x:t xml:space="preserve">CI/CD stages, approvals, automated checks, verification and rollback.</x:t>
        </x:is>
      </x:c>
      <x:c r="E17" s="9" t="inlineStr">
        <x:is>
          <x:t xml:space="preserve">Release Manager</x:t>
        </x:is>
      </x:c>
      <x:c r="F17" s="9" t="inlineStr">
        <x:is>
          <x:t xml:space="preserve">Product Owner</x:t>
        </x:is>
      </x:c>
      <x:c r="G17" s="9" t="inlineStr">
        <x:is>
          <x:t xml:space="preserve">Draft</x:t>
        </x:is>
      </x:c>
      <x:c r="H17" s="9" t="inlineStr">
        <x:is>
          <x:t xml:space="preserve">0.1</x:t>
        </x:is>
      </x:c>
      <x:c r="I17" s="9" t="n">
        <x:v>6</x:v>
      </x:c>
      <x:c r="J17" s="29">
        <x:f>IF(G17&lt;&gt;"Approved","",EDATE(TODAY(),I17))</x:f>
      </x:c>
      <x:c r="K17" s="14" t="inlineStr">
        <x:is>
          <x:t xml:space="preserve"/>
        </x:is>
      </x:c>
      <x:c r="L17" s="14" t="inlineStr">
        <x:is>
          <x:t xml:space="preserve"/>
        </x:is>
      </x:c>
      <x:c r="M17" s="14" t="inlineStr">
        <x:is>
          <x:t xml:space="preserve">PRC-05</x:t>
        </x:is>
      </x:c>
    </x:row>
    <x:row r="18" ht="36" customHeight="1">
      <x:c r="A18" s="9" t="inlineStr">
        <x:is>
          <x:t xml:space="preserve">PRC-005</x:t>
        </x:is>
      </x:c>
      <x:c r="B18" s="9" t="inlineStr">
        <x:is>
          <x:t xml:space="preserve">Process</x:t>
        </x:is>
      </x:c>
      <x:c r="C18" s="14" t="inlineStr">
        <x:is>
          <x:t xml:space="preserve">Source onboarding workflow</x:t>
        </x:is>
      </x:c>
      <x:c r="D18" s="14" t="inlineStr">
        <x:is>
          <x:t xml:space="preserve">Intake → validation → secrets → config publish → test → prod → handover.</x:t>
        </x:is>
      </x:c>
      <x:c r="E18" s="9" t="inlineStr">
        <x:is>
          <x:t xml:space="preserve">Data Platform Architect</x:t>
        </x:is>
      </x:c>
      <x:c r="F18" s="9" t="inlineStr">
        <x:is>
          <x:t xml:space="preserve">Product Owner</x:t>
        </x:is>
      </x:c>
      <x:c r="G18" s="9" t="inlineStr">
        <x:is>
          <x:t xml:space="preserve">Draft</x:t>
        </x:is>
      </x:c>
      <x:c r="H18" s="9" t="inlineStr">
        <x:is>
          <x:t xml:space="preserve">0.1</x:t>
        </x:is>
      </x:c>
      <x:c r="I18" s="9" t="n">
        <x:v>6</x:v>
      </x:c>
      <x:c r="J18" s="29">
        <x:f>IF(G18&lt;&gt;"Approved","",EDATE(TODAY(),I18))</x:f>
      </x:c>
      <x:c r="K18" s="14" t="inlineStr">
        <x:is>
          <x:t xml:space="preserve"/>
        </x:is>
      </x:c>
      <x:c r="L18" s="14" t="inlineStr">
        <x:is>
          <x:t xml:space="preserve"/>
        </x:is>
      </x:c>
      <x:c r="M18" s="14" t="inlineStr">
        <x:is>
          <x:t xml:space="preserve">PRC-06</x:t>
        </x:is>
      </x:c>
    </x:row>
    <x:row r="19" ht="36" customHeight="1">
      <x:c r="A19" s="9" t="inlineStr">
        <x:is>
          <x:t xml:space="preserve">PRC-006</x:t>
        </x:is>
      </x:c>
      <x:c r="B19" s="9" t="inlineStr">
        <x:is>
          <x:t xml:space="preserve">Process</x:t>
        </x:is>
      </x:c>
      <x:c r="C19" s="14" t="inlineStr">
        <x:is>
          <x:t xml:space="preserve">Access review workflow</x:t>
        </x:is>
      </x:c>
      <x:c r="D19" s="14" t="inlineStr">
        <x:is>
          <x:t xml:space="preserve">Quarterly review, signoff, remediation and evidence.</x:t>
        </x:is>
      </x:c>
      <x:c r="E19" s="9" t="inlineStr">
        <x:is>
          <x:t xml:space="preserve">Security/Identity Eng</x:t>
        </x:is>
      </x:c>
      <x:c r="F19" s="9" t="inlineStr">
        <x:is>
          <x:t xml:space="preserve">Security/Identity Eng</x:t>
        </x:is>
      </x:c>
      <x:c r="G19" s="9" t="inlineStr">
        <x:is>
          <x:t xml:space="preserve">Draft</x:t>
        </x:is>
      </x:c>
      <x:c r="H19" s="9" t="inlineStr">
        <x:is>
          <x:t xml:space="preserve">0.1</x:t>
        </x:is>
      </x:c>
      <x:c r="I19" s="9" t="n">
        <x:v>6</x:v>
      </x:c>
      <x:c r="J19" s="29">
        <x:f>IF(G19&lt;&gt;"Approved","",EDATE(TODAY(),I19))</x:f>
      </x:c>
      <x:c r="K19" s="14" t="inlineStr">
        <x:is>
          <x:t xml:space="preserve"/>
        </x:is>
      </x:c>
      <x:c r="L19" s="14" t="inlineStr">
        <x:is>
          <x:t xml:space="preserve"/>
        </x:is>
      </x:c>
      <x:c r="M19" s="14" t="inlineStr">
        <x:is>
          <x:t xml:space="preserve">PRC-07</x:t>
        </x:is>
      </x:c>
    </x:row>
    <x:row r="20" ht="36" customHeight="1">
      <x:c r="A20" s="9" t="inlineStr">
        <x:is>
          <x:t xml:space="preserve">PRC-007</x:t>
        </x:is>
      </x:c>
      <x:c r="B20" s="9" t="inlineStr">
        <x:is>
          <x:t xml:space="preserve">Process</x:t>
        </x:is>
      </x:c>
      <x:c r="C20" s="14" t="inlineStr">
        <x:is>
          <x:t xml:space="preserve">Backfill request workflow</x:t>
        </x:is>
      </x:c>
      <x:c r="D20" s="14" t="inlineStr">
        <x:is>
          <x:t xml:space="preserve">Intake, approvals, execution, validation and cost tracking.</x:t>
        </x:is>
      </x:c>
      <x:c r="E20" s="9" t="inlineStr">
        <x:is>
          <x:t xml:space="preserve">Data Engineer</x:t>
        </x:is>
      </x:c>
      <x:c r="F20" s="9" t="inlineStr">
        <x:is>
          <x:t xml:space="preserve">Product Owner</x:t>
        </x:is>
      </x:c>
      <x:c r="G20" s="9" t="inlineStr">
        <x:is>
          <x:t xml:space="preserve">Draft</x:t>
        </x:is>
      </x:c>
      <x:c r="H20" s="9" t="inlineStr">
        <x:is>
          <x:t xml:space="preserve">0.1</x:t>
        </x:is>
      </x:c>
      <x:c r="I20" s="9" t="n">
        <x:v>6</x:v>
      </x:c>
      <x:c r="J20" s="29">
        <x:f>IF(G20&lt;&gt;"Approved","",EDATE(TODAY(),I20))</x:f>
      </x:c>
      <x:c r="K20" s="14" t="inlineStr">
        <x:is>
          <x:t xml:space="preserve"/>
        </x:is>
      </x:c>
      <x:c r="L20" s="14" t="inlineStr">
        <x:is>
          <x:t xml:space="preserve"/>
        </x:is>
      </x:c>
      <x:c r="M20" s="14" t="inlineStr">
        <x:is>
          <x:t xml:space="preserve">PRC-08</x:t>
        </x:is>
      </x:c>
    </x:row>
    <x:row r="21" ht="36" customHeight="1">
      <x:c r="A21" s="9" t="inlineStr">
        <x:is>
          <x:t xml:space="preserve">PRC-008</x:t>
        </x:is>
      </x:c>
      <x:c r="B21" s="9" t="inlineStr">
        <x:is>
          <x:t xml:space="preserve">Process</x:t>
        </x:is>
      </x:c>
      <x:c r="C21" s="14" t="inlineStr">
        <x:is>
          <x:t xml:space="preserve">DLQ reprocessing workflow</x:t>
        </x:is>
      </x:c>
      <x:c r="D21" s="14" t="inlineStr">
        <x:is>
          <x:t xml:space="preserve">Criteria, approvals, replay steps and verification.</x:t>
        </x:is>
      </x:c>
      <x:c r="E21" s="9" t="inlineStr">
        <x:is>
          <x:t xml:space="preserve">SRE/Operations</x:t>
        </x:is>
      </x:c>
      <x:c r="F21" s="9" t="inlineStr">
        <x:is>
          <x:t xml:space="preserve">Product Owner</x:t>
        </x:is>
      </x:c>
      <x:c r="G21" s="9" t="inlineStr">
        <x:is>
          <x:t xml:space="preserve">Draft</x:t>
        </x:is>
      </x:c>
      <x:c r="H21" s="9" t="inlineStr">
        <x:is>
          <x:t xml:space="preserve">0.1</x:t>
        </x:is>
      </x:c>
      <x:c r="I21" s="9" t="n">
        <x:v>6</x:v>
      </x:c>
      <x:c r="J21" s="29">
        <x:f>IF(G21&lt;&gt;"Approved","",EDATE(TODAY(),I21))</x:f>
      </x:c>
      <x:c r="K21" s="14" t="inlineStr">
        <x:is>
          <x:t xml:space="preserve"/>
        </x:is>
      </x:c>
      <x:c r="L21" s="14" t="inlineStr">
        <x:is>
          <x:t xml:space="preserve"/>
        </x:is>
      </x:c>
      <x:c r="M21" s="14" t="inlineStr">
        <x:is>
          <x:t xml:space="preserve">PRC-09</x:t>
        </x:is>
      </x:c>
    </x:row>
    <x:row r="22" ht="36" customHeight="1">
      <x:c r="A22" s="9" t="inlineStr">
        <x:is>
          <x:t xml:space="preserve">PRC-009</x:t>
        </x:is>
      </x:c>
      <x:c r="B22" s="9" t="inlineStr">
        <x:is>
          <x:t xml:space="preserve">Process</x:t>
        </x:is>
      </x:c>
      <x:c r="C22" s="14" t="inlineStr">
        <x:is>
          <x:t xml:space="preserve">Operational Readiness Review (ORR) workflow</x:t>
        </x:is>
      </x:c>
      <x:c r="D22" s="14" t="inlineStr">
        <x:is>
          <x:t xml:space="preserve">Checklist, gates, evidence and signoff.</x:t>
        </x:is>
      </x:c>
      <x:c r="E22" s="9" t="inlineStr">
        <x:is>
          <x:t xml:space="preserve">SRE/Operations</x:t>
        </x:is>
      </x:c>
      <x:c r="F22" s="9" t="inlineStr">
        <x:is>
          <x:t xml:space="preserve">Product Owner</x:t>
        </x:is>
      </x:c>
      <x:c r="G22" s="9" t="inlineStr">
        <x:is>
          <x:t xml:space="preserve">Draft</x:t>
        </x:is>
      </x:c>
      <x:c r="H22" s="9" t="inlineStr">
        <x:is>
          <x:t xml:space="preserve">0.1</x:t>
        </x:is>
      </x:c>
      <x:c r="I22" s="9" t="n">
        <x:v>6</x:v>
      </x:c>
      <x:c r="J22" s="29">
        <x:f>IF(G22&lt;&gt;"Approved","",EDATE(TODAY(),I22))</x:f>
      </x:c>
      <x:c r="K22" s="14" t="inlineStr">
        <x:is>
          <x:t xml:space="preserve"/>
        </x:is>
      </x:c>
      <x:c r="L22" s="14" t="inlineStr">
        <x:is>
          <x:t xml:space="preserve"/>
        </x:is>
      </x:c>
      <x:c r="M22" s="14" t="inlineStr">
        <x:is>
          <x:t xml:space="preserve">PRC-10</x:t>
        </x:is>
      </x:c>
    </x:row>
    <x:row r="23" ht="36" customHeight="1">
      <x:c r="A23" s="9" t="inlineStr">
        <x:is>
          <x:t xml:space="preserve">SOP-001</x:t>
        </x:is>
      </x:c>
      <x:c r="B23" s="9" t="inlineStr">
        <x:is>
          <x:t xml:space="preserve">Procedure</x:t>
        </x:is>
      </x:c>
      <x:c r="C23" s="14" t="inlineStr">
        <x:is>
          <x:t xml:space="preserve">Runbook template</x:t>
        </x:is>
      </x:c>
      <x:c r="D23" s="14" t="inlineStr">
        <x:is>
          <x:t xml:space="preserve">Standard template for all runbooks with evidence capture.</x:t>
        </x:is>
      </x:c>
      <x:c r="E23" s="9" t="inlineStr">
        <x:is>
          <x:t xml:space="preserve">SRE/Operations</x:t>
        </x:is>
      </x:c>
      <x:c r="F23" s="9" t="inlineStr">
        <x:is>
          <x:t xml:space="preserve">SRE/Operations</x:t>
        </x:is>
      </x:c>
      <x:c r="G23" s="9" t="inlineStr">
        <x:is>
          <x:t xml:space="preserve">Draft</x:t>
        </x:is>
      </x:c>
      <x:c r="H23" s="9" t="inlineStr">
        <x:is>
          <x:t xml:space="preserve">0.1</x:t>
        </x:is>
      </x:c>
      <x:c r="I23" s="9" t="n">
        <x:v>6</x:v>
      </x:c>
      <x:c r="J23" s="29">
        <x:f>IF(G23&lt;&gt;"Approved","",EDATE(TODAY(),I23))</x:f>
      </x:c>
      <x:c r="K23" s="14" t="inlineStr">
        <x:is>
          <x:t xml:space="preserve"/>
        </x:is>
      </x:c>
      <x:c r="L23" s="14" t="inlineStr">
        <x:is>
          <x:t xml:space="preserve"/>
        </x:is>
      </x:c>
      <x:c r="M23" s="14" t="inlineStr">
        <x:is>
          <x:t xml:space="preserve">SOP-01</x:t>
        </x:is>
      </x:c>
    </x:row>
    <x:row r="24" ht="36" customHeight="1">
      <x:c r="A24" s="9" t="inlineStr">
        <x:is>
          <x:t xml:space="preserve">RB-001</x:t>
        </x:is>
      </x:c>
      <x:c r="B24" s="9" t="inlineStr">
        <x:is>
          <x:t xml:space="preserve">Runbook</x:t>
        </x:is>
      </x:c>
      <x:c r="C24" s="14" t="inlineStr">
        <x:is>
          <x:t xml:space="preserve">Auth failures (401/403)</x:t>
        </x:is>
      </x:c>
      <x:c r="D24" s="14" t="inlineStr">
        <x:is>
          <x:t xml:space="preserve">Diagnose token/secret issues; rotation steps and escalation.</x:t>
        </x:is>
      </x:c>
      <x:c r="E24" s="9" t="inlineStr">
        <x:is>
          <x:t xml:space="preserve">SRE/Operations</x:t>
        </x:is>
      </x:c>
      <x:c r="F24" s="9" t="inlineStr">
        <x:is>
          <x:t xml:space="preserve">SRE/Operations</x:t>
        </x:is>
      </x:c>
      <x:c r="G24" s="9" t="inlineStr">
        <x:is>
          <x:t xml:space="preserve">Draft</x:t>
        </x:is>
      </x:c>
      <x:c r="H24" s="9" t="inlineStr">
        <x:is>
          <x:t xml:space="preserve">0.1</x:t>
        </x:is>
      </x:c>
      <x:c r="I24" s="9" t="n">
        <x:v>6</x:v>
      </x:c>
      <x:c r="J24" s="29">
        <x:f>IF(G24&lt;&gt;"Approved","",EDATE(TODAY(),I24))</x:f>
      </x:c>
      <x:c r="K24" s="14" t="inlineStr">
        <x:is>
          <x:t xml:space="preserve"/>
        </x:is>
      </x:c>
      <x:c r="L24" s="14" t="inlineStr">
        <x:is>
          <x:t xml:space="preserve"/>
        </x:is>
      </x:c>
      <x:c r="M24" s="14" t="inlineStr">
        <x:is>
          <x:t xml:space="preserve">SOP-02</x:t>
        </x:is>
      </x:c>
    </x:row>
    <x:row r="25" ht="36" customHeight="1">
      <x:c r="A25" s="9" t="inlineStr">
        <x:is>
          <x:t xml:space="preserve">RB-002</x:t>
        </x:is>
      </x:c>
      <x:c r="B25" s="9" t="inlineStr">
        <x:is>
          <x:t xml:space="preserve">Runbook</x:t>
        </x:is>
      </x:c>
      <x:c r="C25" s="14" t="inlineStr">
        <x:is>
          <x:t xml:space="preserve">Rate limiting / 429</x:t>
        </x:is>
      </x:c>
      <x:c r="D25" s="14" t="inlineStr">
        <x:is>
          <x:t xml:space="preserve">Identify limit causes; tune throttling/schedule; vendor escalation.</x:t>
        </x:is>
      </x:c>
      <x:c r="E25" s="9" t="inlineStr">
        <x:is>
          <x:t xml:space="preserve">SRE/Operations</x:t>
        </x:is>
      </x:c>
      <x:c r="F25" s="9" t="inlineStr">
        <x:is>
          <x:t xml:space="preserve">SRE/Operations</x:t>
        </x:is>
      </x:c>
      <x:c r="G25" s="9" t="inlineStr">
        <x:is>
          <x:t xml:space="preserve">Draft</x:t>
        </x:is>
      </x:c>
      <x:c r="H25" s="9" t="inlineStr">
        <x:is>
          <x:t xml:space="preserve">0.1</x:t>
        </x:is>
      </x:c>
      <x:c r="I25" s="9" t="n">
        <x:v>6</x:v>
      </x:c>
      <x:c r="J25" s="29">
        <x:f>IF(G25&lt;&gt;"Approved","",EDATE(TODAY(),I25))</x:f>
      </x:c>
      <x:c r="K25" s="14" t="inlineStr">
        <x:is>
          <x:t xml:space="preserve"/>
        </x:is>
      </x:c>
      <x:c r="L25" s="14" t="inlineStr">
        <x:is>
          <x:t xml:space="preserve"/>
        </x:is>
      </x:c>
      <x:c r="M25" s="14" t="inlineStr">
        <x:is>
          <x:t xml:space="preserve">SOP-03</x:t>
        </x:is>
      </x:c>
    </x:row>
    <x:row r="26" ht="36" customHeight="1">
      <x:c r="A26" s="9" t="inlineStr">
        <x:is>
          <x:t xml:space="preserve">RB-003</x:t>
        </x:is>
      </x:c>
      <x:c r="B26" s="9" t="inlineStr">
        <x:is>
          <x:t xml:space="preserve">Runbook</x:t>
        </x:is>
      </x:c>
      <x:c r="C26" s="14" t="inlineStr">
        <x:is>
          <x:t xml:space="preserve">Vendor outage / 5xx</x:t>
        </x:is>
      </x:c>
      <x:c r="D26" s="14" t="inlineStr">
        <x:is>
          <x:t xml:space="preserve">Circuit breaker behavior, comms, and recovery actions.</x:t>
        </x:is>
      </x:c>
      <x:c r="E26" s="9" t="inlineStr">
        <x:is>
          <x:t xml:space="preserve">SRE/Operations</x:t>
        </x:is>
      </x:c>
      <x:c r="F26" s="9" t="inlineStr">
        <x:is>
          <x:t xml:space="preserve">SRE/Operations</x:t>
        </x:is>
      </x:c>
      <x:c r="G26" s="9" t="inlineStr">
        <x:is>
          <x:t xml:space="preserve">Draft</x:t>
        </x:is>
      </x:c>
      <x:c r="H26" s="9" t="inlineStr">
        <x:is>
          <x:t xml:space="preserve">0.1</x:t>
        </x:is>
      </x:c>
      <x:c r="I26" s="9" t="n">
        <x:v>6</x:v>
      </x:c>
      <x:c r="J26" s="29">
        <x:f>IF(G26&lt;&gt;"Approved","",EDATE(TODAY(),I26))</x:f>
      </x:c>
      <x:c r="K26" s="14" t="inlineStr">
        <x:is>
          <x:t xml:space="preserve"/>
        </x:is>
      </x:c>
      <x:c r="L26" s="14" t="inlineStr">
        <x:is>
          <x:t xml:space="preserve"/>
        </x:is>
      </x:c>
      <x:c r="M26" s="14" t="inlineStr">
        <x:is>
          <x:t xml:space="preserve">SOP-04</x:t>
        </x:is>
      </x:c>
    </x:row>
    <x:row r="27" ht="36" customHeight="1">
      <x:c r="A27" s="9" t="inlineStr">
        <x:is>
          <x:t xml:space="preserve">RB-004</x:t>
        </x:is>
      </x:c>
      <x:c r="B27" s="9" t="inlineStr">
        <x:is>
          <x:t xml:space="preserve">Runbook</x:t>
        </x:is>
      </x:c>
      <x:c r="C27" s="14" t="inlineStr">
        <x:is>
          <x:t xml:space="preserve">Schema drift detected</x:t>
        </x:is>
      </x:c>
      <x:c r="D27" s="14" t="inlineStr">
        <x:is>
          <x:t xml:space="preserve">Detect, quarantine, approve override; notify owners.</x:t>
        </x:is>
      </x:c>
      <x:c r="E27" s="9" t="inlineStr">
        <x:is>
          <x:t xml:space="preserve">Data Engineer</x:t>
        </x:is>
      </x:c>
      <x:c r="F27" s="9" t="inlineStr">
        <x:is>
          <x:t xml:space="preserve">Data Platform Architect</x:t>
        </x:is>
      </x:c>
      <x:c r="G27" s="9" t="inlineStr">
        <x:is>
          <x:t xml:space="preserve">Draft</x:t>
        </x:is>
      </x:c>
      <x:c r="H27" s="9" t="inlineStr">
        <x:is>
          <x:t xml:space="preserve">0.1</x:t>
        </x:is>
      </x:c>
      <x:c r="I27" s="9" t="n">
        <x:v>6</x:v>
      </x:c>
      <x:c r="J27" s="29">
        <x:f>IF(G27&lt;&gt;"Approved","",EDATE(TODAY(),I27))</x:f>
      </x:c>
      <x:c r="K27" s="14" t="inlineStr">
        <x:is>
          <x:t xml:space="preserve"/>
        </x:is>
      </x:c>
      <x:c r="L27" s="14" t="inlineStr">
        <x:is>
          <x:t xml:space="preserve"/>
        </x:is>
      </x:c>
      <x:c r="M27" s="14" t="inlineStr">
        <x:is>
          <x:t xml:space="preserve">SOP-05</x:t>
        </x:is>
      </x:c>
    </x:row>
    <x:row r="28" ht="36" customHeight="1">
      <x:c r="A28" s="9" t="inlineStr">
        <x:is>
          <x:t xml:space="preserve">RB-005</x:t>
        </x:is>
      </x:c>
      <x:c r="B28" s="9" t="inlineStr">
        <x:is>
          <x:t xml:space="preserve">Runbook</x:t>
        </x:is>
      </x:c>
      <x:c r="C28" s="14" t="inlineStr">
        <x:is>
          <x:t xml:space="preserve">DLQ growth / parse failures</x:t>
        </x:is>
      </x:c>
      <x:c r="D28" s="14" t="inlineStr">
        <x:is>
          <x:t xml:space="preserve">Root cause analysis, replay strategy and verification.</x:t>
        </x:is>
      </x:c>
      <x:c r="E28" s="9" t="inlineStr">
        <x:is>
          <x:t xml:space="preserve">Data Engineer</x:t>
        </x:is>
      </x:c>
      <x:c r="F28" s="9" t="inlineStr">
        <x:is>
          <x:t xml:space="preserve">SRE/Operations</x:t>
        </x:is>
      </x:c>
      <x:c r="G28" s="9" t="inlineStr">
        <x:is>
          <x:t xml:space="preserve">Draft</x:t>
        </x:is>
      </x:c>
      <x:c r="H28" s="9" t="inlineStr">
        <x:is>
          <x:t xml:space="preserve">0.1</x:t>
        </x:is>
      </x:c>
      <x:c r="I28" s="9" t="n">
        <x:v>6</x:v>
      </x:c>
      <x:c r="J28" s="29">
        <x:f>IF(G28&lt;&gt;"Approved","",EDATE(TODAY(),I28))</x:f>
      </x:c>
      <x:c r="K28" s="14" t="inlineStr">
        <x:is>
          <x:t xml:space="preserve"/>
        </x:is>
      </x:c>
      <x:c r="L28" s="14" t="inlineStr">
        <x:is>
          <x:t xml:space="preserve"/>
        </x:is>
      </x:c>
      <x:c r="M28" s="14" t="inlineStr">
        <x:is>
          <x:t xml:space="preserve">SOP-07</x:t>
        </x:is>
      </x:c>
    </x:row>
    <x:row r="29" ht="36" customHeight="1">
      <x:c r="A29" s="9" t="inlineStr">
        <x:is>
          <x:t xml:space="preserve">SOP-010</x:t>
        </x:is>
      </x:c>
      <x:c r="B29" s="9" t="inlineStr">
        <x:is>
          <x:t xml:space="preserve">Procedure</x:t>
        </x:is>
      </x:c>
      <x:c r="C29" s="14" t="inlineStr">
        <x:is>
          <x:t xml:space="preserve">Credential rotation SOP</x:t>
        </x:is>
      </x:c>
      <x:c r="D29" s="14" t="inlineStr">
        <x:is>
          <x:t xml:space="preserve">Step-by-step rotation execution with smoke tests and evidence.</x:t>
        </x:is>
      </x:c>
      <x:c r="E29" s="9" t="inlineStr">
        <x:is>
          <x:t xml:space="preserve">Security/Identity Eng</x:t>
        </x:is>
      </x:c>
      <x:c r="F29" s="9" t="inlineStr">
        <x:is>
          <x:t xml:space="preserve">Security/Identity Eng</x:t>
        </x:is>
      </x:c>
      <x:c r="G29" s="9" t="inlineStr">
        <x:is>
          <x:t xml:space="preserve">Draft</x:t>
        </x:is>
      </x:c>
      <x:c r="H29" s="9" t="inlineStr">
        <x:is>
          <x:t xml:space="preserve">0.1</x:t>
        </x:is>
      </x:c>
      <x:c r="I29" s="9" t="n">
        <x:v>6</x:v>
      </x:c>
      <x:c r="J29" s="29">
        <x:f>IF(G29&lt;&gt;"Approved","",EDATE(TODAY(),I29))</x:f>
      </x:c>
      <x:c r="K29" s="14" t="inlineStr">
        <x:is>
          <x:t xml:space="preserve"/>
        </x:is>
      </x:c>
      <x:c r="L29" s="14" t="inlineStr">
        <x:is>
          <x:t xml:space="preserve"/>
        </x:is>
      </x:c>
      <x:c r="M29" s="14" t="inlineStr">
        <x:is>
          <x:t xml:space="preserve">SOP-10</x:t>
        </x:is>
      </x:c>
    </x:row>
    <x:row r="30" ht="36" customHeight="1">
      <x:c r="A30" s="9" t="inlineStr">
        <x:is>
          <x:t xml:space="preserve">SOP-011</x:t>
        </x:is>
      </x:c>
      <x:c r="B30" s="9" t="inlineStr">
        <x:is>
          <x:t xml:space="preserve">Procedure</x:t>
        </x:is>
      </x:c>
      <x:c r="C30" s="14" t="inlineStr">
        <x:is>
          <x:t xml:space="preserve">Production deployment SOP</x:t>
        </x:is>
      </x:c>
      <x:c r="D30" s="14" t="inlineStr">
        <x:is>
          <x:t xml:space="preserve">Standard release promotion and verification.</x:t>
        </x:is>
      </x:c>
      <x:c r="E30" s="9" t="inlineStr">
        <x:is>
          <x:t xml:space="preserve">Release Manager</x:t>
        </x:is>
      </x:c>
      <x:c r="F30" s="9" t="inlineStr">
        <x:is>
          <x:t xml:space="preserve">Release Manager</x:t>
        </x:is>
      </x:c>
      <x:c r="G30" s="9" t="inlineStr">
        <x:is>
          <x:t xml:space="preserve">Draft</x:t>
        </x:is>
      </x:c>
      <x:c r="H30" s="9" t="inlineStr">
        <x:is>
          <x:t xml:space="preserve">0.1</x:t>
        </x:is>
      </x:c>
      <x:c r="I30" s="9" t="n">
        <x:v>6</x:v>
      </x:c>
      <x:c r="J30" s="29">
        <x:f>IF(G30&lt;&gt;"Approved","",EDATE(TODAY(),I30))</x:f>
      </x:c>
      <x:c r="K30" s="14" t="inlineStr">
        <x:is>
          <x:t xml:space="preserve"/>
        </x:is>
      </x:c>
      <x:c r="L30" s="14" t="inlineStr">
        <x:is>
          <x:t xml:space="preserve"/>
        </x:is>
      </x:c>
      <x:c r="M30" s="14" t="inlineStr">
        <x:is>
          <x:t xml:space="preserve">SOP-11</x:t>
        </x:is>
      </x:c>
    </x:row>
    <x:row r="31" ht="36" customHeight="1">
      <x:c r="A31" s="9" t="inlineStr">
        <x:is>
          <x:t xml:space="preserve">SOP-014</x:t>
        </x:is>
      </x:c>
      <x:c r="B31" s="9" t="inlineStr">
        <x:is>
          <x:t xml:space="preserve">Procedure</x:t>
        </x:is>
      </x:c>
      <x:c r="C31" s="14" t="inlineStr">
        <x:is>
          <x:t xml:space="preserve">Backfill SOP</x:t>
        </x:is>
      </x:c>
      <x:c r="D31" s="14" t="inlineStr">
        <x:is>
          <x:t xml:space="preserve">Backfill execution procedure.</x:t>
        </x:is>
      </x:c>
      <x:c r="E31" s="9" t="inlineStr">
        <x:is>
          <x:t xml:space="preserve">Data Engineer</x:t>
        </x:is>
      </x:c>
      <x:c r="F31" s="9" t="inlineStr">
        <x:is>
          <x:t xml:space="preserve">Product Owner</x:t>
        </x:is>
      </x:c>
      <x:c r="G31" s="9" t="inlineStr">
        <x:is>
          <x:t xml:space="preserve">Draft</x:t>
        </x:is>
      </x:c>
      <x:c r="H31" s="9" t="inlineStr">
        <x:is>
          <x:t xml:space="preserve">0.1</x:t>
        </x:is>
      </x:c>
      <x:c r="I31" s="9" t="n">
        <x:v>6</x:v>
      </x:c>
      <x:c r="J31" s="29">
        <x:f>IF(G31&lt;&gt;"Approved","",EDATE(TODAY(),I31))</x:f>
      </x:c>
      <x:c r="K31" s="14" t="inlineStr">
        <x:is>
          <x:t xml:space="preserve"/>
        </x:is>
      </x:c>
      <x:c r="L31" s="14" t="inlineStr">
        <x:is>
          <x:t xml:space="preserve"/>
        </x:is>
      </x:c>
      <x:c r="M31" s="14" t="inlineStr">
        <x:is>
          <x:t xml:space="preserve">SOP-14</x:t>
        </x:is>
      </x:c>
    </x:row>
    <x:row r="32" ht="36" customHeight="1">
      <x:c r="A32" s="9" t="inlineStr">
        <x:is>
          <x:t xml:space="preserve">DSN-001</x:t>
        </x:is>
      </x:c>
      <x:c r="B32" s="9" t="inlineStr">
        <x:is>
          <x:t xml:space="preserve">Design</x:t>
        </x:is>
      </x:c>
      <x:c r="C32" s="14" t="inlineStr">
        <x:is>
          <x:t xml:space="preserve">Reference architecture</x:t>
        </x:is>
      </x:c>
      <x:c r="D32" s="14" t="inlineStr">
        <x:is>
          <x:t xml:space="preserve">Control plane, runtime, orchestration, governance, observability, lineage.</x:t>
        </x:is>
      </x:c>
      <x:c r="E32" s="9" t="inlineStr">
        <x:is>
          <x:t xml:space="preserve">Data Platform Architect</x:t>
        </x:is>
      </x:c>
      <x:c r="F32" s="9" t="inlineStr">
        <x:is>
          <x:t xml:space="preserve">Product Owner</x:t>
        </x:is>
      </x:c>
      <x:c r="G32" s="9" t="inlineStr">
        <x:is>
          <x:t xml:space="preserve">Draft</x:t>
        </x:is>
      </x:c>
      <x:c r="H32" s="9" t="inlineStr">
        <x:is>
          <x:t xml:space="preserve">0.1</x:t>
        </x:is>
      </x:c>
      <x:c r="I32" s="9" t="n">
        <x:v>6</x:v>
      </x:c>
      <x:c r="J32" s="29">
        <x:f>IF(G32&lt;&gt;"Approved","",EDATE(TODAY(),I32))</x:f>
      </x:c>
      <x:c r="K32" s="14" t="inlineStr">
        <x:is>
          <x:t xml:space="preserve"/>
        </x:is>
      </x:c>
      <x:c r="L32" s="14" t="inlineStr">
        <x:is>
          <x:t xml:space="preserve"/>
        </x:is>
      </x:c>
      <x:c r="M32" s="14" t="inlineStr">
        <x:is>
          <x:t xml:space="preserve">DSN-01</x:t>
        </x:is>
      </x:c>
    </x:row>
    <x:row r="33" ht="36" customHeight="1">
      <x:c r="A33" s="9" t="inlineStr">
        <x:is>
          <x:t xml:space="preserve">DSN-002</x:t>
        </x:is>
      </x:c>
      <x:c r="B33" s="9" t="inlineStr">
        <x:is>
          <x:t xml:space="preserve">Design</x:t>
        </x:is>
      </x:c>
      <x:c r="C33" s="14" t="inlineStr">
        <x:is>
          <x:t xml:space="preserve">Control plane data model</x:t>
        </x:is>
      </x:c>
      <x:c r="D33" s="14" t="inlineStr">
        <x:is>
          <x:t xml:space="preserve">Registry tables: sources/endpoints/state/runs/errors/dq/audit.</x:t>
        </x:is>
      </x:c>
      <x:c r="E33" s="9" t="inlineStr">
        <x:is>
          <x:t xml:space="preserve">Data Platform Architect</x:t>
        </x:is>
      </x:c>
      <x:c r="F33" s="9" t="inlineStr">
        <x:is>
          <x:t xml:space="preserve">Data Platform Architect</x:t>
        </x:is>
      </x:c>
      <x:c r="G33" s="9" t="inlineStr">
        <x:is>
          <x:t xml:space="preserve">Draft</x:t>
        </x:is>
      </x:c>
      <x:c r="H33" s="9" t="inlineStr">
        <x:is>
          <x:t xml:space="preserve">0.1</x:t>
        </x:is>
      </x:c>
      <x:c r="I33" s="9" t="n">
        <x:v>6</x:v>
      </x:c>
      <x:c r="J33" s="29">
        <x:f>IF(G33&lt;&gt;"Approved","",EDATE(TODAY(),I33))</x:f>
      </x:c>
      <x:c r="K33" s="14" t="inlineStr">
        <x:is>
          <x:t xml:space="preserve"/>
        </x:is>
      </x:c>
      <x:c r="L33" s="14" t="inlineStr">
        <x:is>
          <x:t xml:space="preserve"/>
        </x:is>
      </x:c>
      <x:c r="M33" s="14" t="inlineStr">
        <x:is>
          <x:t xml:space="preserve">DSN-02</x:t>
        </x:is>
      </x:c>
    </x:row>
    <x:row r="34" ht="36" customHeight="1">
      <x:c r="A34" s="9" t="inlineStr">
        <x:is>
          <x:t xml:space="preserve">DSN-003</x:t>
        </x:is>
      </x:c>
      <x:c r="B34" s="9" t="inlineStr">
        <x:is>
          <x:t xml:space="preserve">Design</x:t>
        </x:is>
      </x:c>
      <x:c r="C34" s="14" t="inlineStr">
        <x:is>
          <x:t xml:space="preserve">Connector SDK spec</x:t>
        </x:is>
      </x:c>
      <x:c r="D34" s="14" t="inlineStr">
        <x:is>
          <x:t xml:space="preserve">Connector interface, packaging, error conventions.</x:t>
        </x:is>
      </x:c>
      <x:c r="E34" s="9" t="inlineStr">
        <x:is>
          <x:t xml:space="preserve">Data Engineer</x:t>
        </x:is>
      </x:c>
      <x:c r="F34" s="9" t="inlineStr">
        <x:is>
          <x:t xml:space="preserve">Data Platform Architect</x:t>
        </x:is>
      </x:c>
      <x:c r="G34" s="9" t="inlineStr">
        <x:is>
          <x:t xml:space="preserve">Draft</x:t>
        </x:is>
      </x:c>
      <x:c r="H34" s="9" t="inlineStr">
        <x:is>
          <x:t xml:space="preserve">0.1</x:t>
        </x:is>
      </x:c>
      <x:c r="I34" s="9" t="n">
        <x:v>6</x:v>
      </x:c>
      <x:c r="J34" s="29">
        <x:f>IF(G34&lt;&gt;"Approved","",EDATE(TODAY(),I34))</x:f>
      </x:c>
      <x:c r="K34" s="14" t="inlineStr">
        <x:is>
          <x:t xml:space="preserve"/>
        </x:is>
      </x:c>
      <x:c r="L34" s="14" t="inlineStr">
        <x:is>
          <x:t xml:space="preserve"/>
        </x:is>
      </x:c>
      <x:c r="M34" s="14" t="inlineStr">
        <x:is>
          <x:t xml:space="preserve">DSN-03</x:t>
        </x:is>
      </x:c>
    </x:row>
    <x:row r="35" ht="36" customHeight="1">
      <x:c r="A35" s="9" t="inlineStr">
        <x:is>
          <x:t xml:space="preserve">DSN-004</x:t>
        </x:is>
      </x:c>
      <x:c r="B35" s="9" t="inlineStr">
        <x:is>
          <x:t xml:space="preserve">Design</x:t>
        </x:is>
      </x:c>
      <x:c r="C35" s="14" t="inlineStr">
        <x:is>
          <x:t xml:space="preserve">Runtime spec</x:t>
        </x:is>
      </x:c>
      <x:c r="D35" s="14" t="inlineStr">
        <x:is>
          <x:t xml:space="preserve">Retries, pagination, throttling, incremental, idempotency.</x:t>
        </x:is>
      </x:c>
      <x:c r="E35" s="9" t="inlineStr">
        <x:is>
          <x:t xml:space="preserve">Data Engineer</x:t>
        </x:is>
      </x:c>
      <x:c r="F35" s="9" t="inlineStr">
        <x:is>
          <x:t xml:space="preserve">Data Platform Architect</x:t>
        </x:is>
      </x:c>
      <x:c r="G35" s="9" t="inlineStr">
        <x:is>
          <x:t xml:space="preserve">Draft</x:t>
        </x:is>
      </x:c>
      <x:c r="H35" s="9" t="inlineStr">
        <x:is>
          <x:t xml:space="preserve">0.1</x:t>
        </x:is>
      </x:c>
      <x:c r="I35" s="9" t="n">
        <x:v>6</x:v>
      </x:c>
      <x:c r="J35" s="29">
        <x:f>IF(G35&lt;&gt;"Approved","",EDATE(TODAY(),I35))</x:f>
      </x:c>
      <x:c r="K35" s="14" t="inlineStr">
        <x:is>
          <x:t xml:space="preserve"/>
        </x:is>
      </x:c>
      <x:c r="L35" s="14" t="inlineStr">
        <x:is>
          <x:t xml:space="preserve"/>
        </x:is>
      </x:c>
      <x:c r="M35" s="14" t="inlineStr">
        <x:is>
          <x:t xml:space="preserve">DSN-04</x:t>
        </x:is>
      </x:c>
    </x:row>
    <x:row r="36" ht="36" customHeight="1">
      <x:c r="A36" s="9" t="inlineStr">
        <x:is>
          <x:t xml:space="preserve">DSN-005</x:t>
        </x:is>
      </x:c>
      <x:c r="B36" s="9" t="inlineStr">
        <x:is>
          <x:t xml:space="preserve">Design</x:t>
        </x:is>
      </x:c>
      <x:c r="C36" s="14" t="inlineStr">
        <x:is>
          <x:t xml:space="preserve">Observability metrics model</x:t>
        </x:is>
      </x:c>
      <x:c r="D36" s="14" t="inlineStr">
        <x:is>
          <x:t xml:space="preserve">Metrics schema and dimensions supporting dashboards/alerts.</x:t>
        </x:is>
      </x:c>
      <x:c r="E36" s="9" t="inlineStr">
        <x:is>
          <x:t xml:space="preserve">SRE/Operations</x:t>
        </x:is>
      </x:c>
      <x:c r="F36" s="9" t="inlineStr">
        <x:is>
          <x:t xml:space="preserve">Data Platform Architect</x:t>
        </x:is>
      </x:c>
      <x:c r="G36" s="9" t="inlineStr">
        <x:is>
          <x:t xml:space="preserve">Draft</x:t>
        </x:is>
      </x:c>
      <x:c r="H36" s="9" t="inlineStr">
        <x:is>
          <x:t xml:space="preserve">0.1</x:t>
        </x:is>
      </x:c>
      <x:c r="I36" s="9" t="n">
        <x:v>6</x:v>
      </x:c>
      <x:c r="J36" s="29">
        <x:f>IF(G36&lt;&gt;"Approved","",EDATE(TODAY(),I36))</x:f>
      </x:c>
      <x:c r="K36" s="14" t="inlineStr">
        <x:is>
          <x:t xml:space="preserve"/>
        </x:is>
      </x:c>
      <x:c r="L36" s="14" t="inlineStr">
        <x:is>
          <x:t xml:space="preserve"/>
        </x:is>
      </x:c>
      <x:c r="M36" s="14" t="inlineStr">
        <x:is>
          <x:t xml:space="preserve">DSN-08</x:t>
        </x:is>
      </x:c>
    </x:row>
    <x:row r="37" ht="36" customHeight="1">
      <x:c r="A37" s="9" t="inlineStr">
        <x:is>
          <x:t xml:space="preserve">DSN-006</x:t>
        </x:is>
      </x:c>
      <x:c r="B37" s="9" t="inlineStr">
        <x:is>
          <x:t xml:space="preserve">Design</x:t>
        </x:is>
      </x:c>
      <x:c r="C37" s="14" t="inlineStr">
        <x:is>
          <x:t xml:space="preserve">DQ framework spec</x:t>
        </x:is>
      </x:c>
      <x:c r="D37" s="14" t="inlineStr">
        <x:is>
          <x:t xml:space="preserve">Rule types, enforcement, reporting.</x:t>
        </x:is>
      </x:c>
      <x:c r="E37" s="9" t="inlineStr">
        <x:is>
          <x:t xml:space="preserve">Data Engineer</x:t>
        </x:is>
      </x:c>
      <x:c r="F37" s="9" t="inlineStr">
        <x:is>
          <x:t xml:space="preserve">Data Platform Architect</x:t>
        </x:is>
      </x:c>
      <x:c r="G37" s="9" t="inlineStr">
        <x:is>
          <x:t xml:space="preserve">Draft</x:t>
        </x:is>
      </x:c>
      <x:c r="H37" s="9" t="inlineStr">
        <x:is>
          <x:t xml:space="preserve">0.1</x:t>
        </x:is>
      </x:c>
      <x:c r="I37" s="9" t="n">
        <x:v>6</x:v>
      </x:c>
      <x:c r="J37" s="29">
        <x:f>IF(G37&lt;&gt;"Approved","",EDATE(TODAY(),I37))</x:f>
      </x:c>
      <x:c r="K37" s="14" t="inlineStr">
        <x:is>
          <x:t xml:space="preserve"/>
        </x:is>
      </x:c>
      <x:c r="L37" s="14" t="inlineStr">
        <x:is>
          <x:t xml:space="preserve"/>
        </x:is>
      </x:c>
      <x:c r="M37" s="14" t="inlineStr">
        <x:is>
          <x:t xml:space="preserve">DSN-10</x:t>
        </x:is>
      </x:c>
    </x:row>
    <x:row r="38" ht="36" customHeight="1">
      <x:c r="A38" s="9" t="inlineStr">
        <x:is>
          <x:t xml:space="preserve">DSN-007</x:t>
        </x:is>
      </x:c>
      <x:c r="B38" s="9" t="inlineStr">
        <x:is>
          <x:t xml:space="preserve">Design</x:t>
        </x:is>
      </x:c>
      <x:c r="C38" s="14" t="inlineStr">
        <x:is>
          <x:t xml:space="preserve">Audit &amp; lineage spec</x:t>
        </x:is>
      </x:c>
      <x:c r="D38" s="14" t="inlineStr">
        <x:is>
          <x:t xml:space="preserve">Audit events, evidence tables, UC lineage coverage.</x:t>
        </x:is>
      </x:c>
      <x:c r="E38" s="9" t="inlineStr">
        <x:is>
          <x:t xml:space="preserve">Data Platform Architect</x:t>
        </x:is>
      </x:c>
      <x:c r="F38" s="9" t="inlineStr">
        <x:is>
          <x:t xml:space="preserve">Security/Identity Eng</x:t>
        </x:is>
      </x:c>
      <x:c r="G38" s="9" t="inlineStr">
        <x:is>
          <x:t xml:space="preserve">Draft</x:t>
        </x:is>
      </x:c>
      <x:c r="H38" s="9" t="inlineStr">
        <x:is>
          <x:t xml:space="preserve">0.1</x:t>
        </x:is>
      </x:c>
      <x:c r="I38" s="9" t="n">
        <x:v>6</x:v>
      </x:c>
      <x:c r="J38" s="29">
        <x:f>IF(G38&lt;&gt;"Approved","",EDATE(TODAY(),I38))</x:f>
      </x:c>
      <x:c r="K38" s="14" t="inlineStr">
        <x:is>
          <x:t xml:space="preserve"/>
        </x:is>
      </x:c>
      <x:c r="L38" s="14" t="inlineStr">
        <x:is>
          <x:t xml:space="preserve"/>
        </x:is>
      </x:c>
      <x:c r="M38" s="14" t="inlineStr">
        <x:is>
          <x:t xml:space="preserve">DSN-13</x:t>
        </x:is>
      </x:c>
    </x:row>
    <x:row r="39" ht="36" customHeight="1">
      <x:c r="A39" s="9" t="inlineStr">
        <x:is>
          <x:t xml:space="preserve">DSN-008</x:t>
        </x:is>
      </x:c>
      <x:c r="B39" s="9" t="inlineStr">
        <x:is>
          <x:t xml:space="preserve">Design</x:t>
        </x:is>
      </x:c>
      <x:c r="C39" s="14" t="inlineStr">
        <x:is>
          <x:t xml:space="preserve">CI/CD &amp; IaC spec</x:t>
        </x:is>
      </x:c>
      <x:c r="D39" s="14" t="inlineStr">
        <x:is>
          <x:t xml:space="preserve">Pipelines, scanning, approval gates, Terraform modules.</x:t>
        </x:is>
      </x:c>
      <x:c r="E39" s="9" t="inlineStr">
        <x:is>
          <x:t xml:space="preserve">DevOps/Platform Eng</x:t>
        </x:is>
      </x:c>
      <x:c r="F39" s="9" t="inlineStr">
        <x:is>
          <x:t xml:space="preserve">Release Manager</x:t>
        </x:is>
      </x:c>
      <x:c r="G39" s="9" t="inlineStr">
        <x:is>
          <x:t xml:space="preserve">Draft</x:t>
        </x:is>
      </x:c>
      <x:c r="H39" s="9" t="inlineStr">
        <x:is>
          <x:t xml:space="preserve">0.1</x:t>
        </x:is>
      </x:c>
      <x:c r="I39" s="9" t="n">
        <x:v>6</x:v>
      </x:c>
      <x:c r="J39" s="29">
        <x:f>IF(G39&lt;&gt;"Approved","",EDATE(TODAY(),I39))</x:f>
      </x:c>
      <x:c r="K39" s="14" t="inlineStr">
        <x:is>
          <x:t xml:space="preserve"/>
        </x:is>
      </x:c>
      <x:c r="L39" s="14" t="inlineStr">
        <x:is>
          <x:t xml:space="preserve"/>
        </x:is>
      </x:c>
      <x:c r="M39" s="14" t="inlineStr">
        <x:is>
          <x:t xml:space="preserve">DSN-14</x:t>
        </x:is>
      </x:c>
    </x:row>
    <x:row r="40" ht="36" customHeight="1">
      <x:c r="A40" s="9" t="inlineStr">
        <x:is>
          <x:t xml:space="preserve">OPS-001</x:t>
        </x:is>
      </x:c>
      <x:c r="B40" s="9" t="inlineStr">
        <x:is>
          <x:t xml:space="preserve">Handbook</x:t>
        </x:is>
      </x:c>
      <x:c r="C40" s="14" t="inlineStr">
        <x:is>
          <x:t xml:space="preserve">Operations Handbook</x:t>
        </x:is>
      </x:c>
      <x:c r="D40" s="14" t="inlineStr">
        <x:is>
          <x:t xml:space="preserve">How to operate the ingestion platform: SLOs, dashboards, alerts, runbooks, escalation.</x:t>
        </x:is>
      </x:c>
      <x:c r="E40" s="9" t="inlineStr">
        <x:is>
          <x:t xml:space="preserve">SRE/Operations</x:t>
        </x:is>
      </x:c>
      <x:c r="F40" s="9" t="inlineStr">
        <x:is>
          <x:t xml:space="preserve">Product Owner</x:t>
        </x:is>
      </x:c>
      <x:c r="G40" s="9" t="inlineStr">
        <x:is>
          <x:t xml:space="preserve">Draft</x:t>
        </x:is>
      </x:c>
      <x:c r="H40" s="9" t="inlineStr">
        <x:is>
          <x:t xml:space="preserve">0.1</x:t>
        </x:is>
      </x:c>
      <x:c r="I40" s="9" t="n">
        <x:v>6</x:v>
      </x:c>
      <x:c r="J40" s="29">
        <x:f>IF(G40&lt;&gt;"Approved","",EDATE(TODAY(),I40))</x:f>
      </x:c>
      <x:c r="K40" s="14" t="inlineStr">
        <x:is>
          <x:t xml:space="preserve"/>
        </x:is>
      </x:c>
      <x:c r="L40" s="14" t="inlineStr">
        <x:is>
          <x:t xml:space="preserve"/>
        </x:is>
      </x:c>
      <x:c r="M40" s="14" t="inlineStr">
        <x:is>
          <x:t xml:space="preserve">IMP-34</x:t>
        </x:is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customWidth="1"/>
    <x:col min="2" max="2" width="16" customWidth="1"/>
    <x:col min="3" max="3" width="20" customWidth="1"/>
    <x:col min="4" max="4" width="14" customWidth="1"/>
    <x:col min="5" max="5" width="18" customWidth="1"/>
    <x:col min="6" max="6" width="20" customWidth="1"/>
    <x:col min="7" max="7" width="16" customWidth="1"/>
    <x:col min="8" max="8" width="18" customWidth="1"/>
    <x:col min="9" max="9" width="12" customWidth="1"/>
    <x:col min="10" max="10" width="16" customWidth="1"/>
  </x:cols>
  <x:sheetData>
    <x:row r="1">
      <x:c r="A1" s="5" t="inlineStr">
        <x:is>
          <x:t xml:space="preserve">RACI Matrix (starter)</x:t>
        </x:is>
      </x:c>
    </x:row>
    <x:row r="2">
      <x:c r="A2" s="11" t="inlineStr">
        <x:is>
          <x:t xml:space="preserve">Customize roles and responsibilities to match your org.</x:t>
        </x:is>
      </x:c>
    </x:row>
    <x:row r="4" ht="28" customHeight="1">
      <x:c r="A4" s="12" t="inlineStr">
        <x:is>
          <x:t xml:space="preserve">Activity</x:t>
        </x:is>
      </x:c>
      <x:c r="B4" s="12" t="inlineStr">
        <x:is>
          <x:t xml:space="preserve">Product Owner</x:t>
        </x:is>
      </x:c>
      <x:c r="C4" s="12" t="inlineStr">
        <x:is>
          <x:t xml:space="preserve">Data Platform Architect</x:t>
        </x:is>
      </x:c>
      <x:c r="D4" s="12" t="inlineStr">
        <x:is>
          <x:t xml:space="preserve">Data Engineer</x:t>
        </x:is>
      </x:c>
      <x:c r="E4" s="12" t="inlineStr">
        <x:is>
          <x:t xml:space="preserve">DevOps/Platform Eng</x:t>
        </x:is>
      </x:c>
      <x:c r="F4" s="12" t="inlineStr">
        <x:is>
          <x:t xml:space="preserve">Security/Identity Eng</x:t>
        </x:is>
      </x:c>
      <x:c r="G4" s="12" t="inlineStr">
        <x:is>
          <x:t xml:space="preserve">SRE/Operations</x:t>
        </x:is>
      </x:c>
      <x:c r="H4" s="12" t="inlineStr">
        <x:is>
          <x:t xml:space="preserve">Domain Data Owner</x:t>
        </x:is>
      </x:c>
      <x:c r="I4" s="12" t="inlineStr">
        <x:is>
          <x:t xml:space="preserve">QA/Test</x:t>
        </x:is>
      </x:c>
      <x:c r="J4" s="12" t="inlineStr">
        <x:is>
          <x:t xml:space="preserve">Release Manager</x:t>
        </x:is>
      </x:c>
    </x:row>
    <x:row r="5" ht="22" customHeight="1">
      <x:c r="A5" s="9" t="inlineStr">
        <x:is>
          <x:t xml:space="preserve">Source onboarding</x:t>
        </x:is>
      </x:c>
      <x:c r="B5" s="15" t="inlineStr">
        <x:is>
          <x:t xml:space="preserve">A</x:t>
        </x:is>
      </x:c>
      <x:c r="C5" s="15" t="inlineStr">
        <x:is>
          <x:t xml:space="preserve">C</x:t>
        </x:is>
      </x:c>
      <x:c r="D5" s="15" t="inlineStr">
        <x:is>
          <x:t xml:space="preserve">R</x:t>
        </x:is>
      </x:c>
      <x:c r="E5" s="15" t="inlineStr">
        <x:is>
          <x:t xml:space="preserve">C</x:t>
        </x:is>
      </x:c>
      <x:c r="F5" s="15" t="inlineStr">
        <x:is>
          <x:t xml:space="preserve">C</x:t>
        </x:is>
      </x:c>
      <x:c r="G5" s="15" t="inlineStr">
        <x:is>
          <x:t xml:space="preserve">C</x:t>
        </x:is>
      </x:c>
      <x:c r="H5" s="15" t="inlineStr">
        <x:is>
          <x:t xml:space="preserve">A/R</x:t>
        </x:is>
      </x:c>
      <x:c r="I5" s="15" t="inlineStr">
        <x:is>
          <x:t xml:space="preserve">C</x:t>
        </x:is>
      </x:c>
      <x:c r="J5" s="15" t="inlineStr">
        <x:is>
          <x:t xml:space="preserve">C</x:t>
        </x:is>
      </x:c>
    </x:row>
    <x:row r="6" ht="22" customHeight="1">
      <x:c r="A6" s="9" t="inlineStr">
        <x:is>
          <x:t xml:space="preserve">Credential rotation</x:t>
        </x:is>
      </x:c>
      <x:c r="B6" s="15" t="inlineStr">
        <x:is>
          <x:t xml:space="preserve">C</x:t>
        </x:is>
      </x:c>
      <x:c r="C6" s="15" t="inlineStr">
        <x:is>
          <x:t xml:space="preserve">C</x:t>
        </x:is>
      </x:c>
      <x:c r="D6" s="15" t="inlineStr">
        <x:is>
          <x:t xml:space="preserve">C</x:t>
        </x:is>
      </x:c>
      <x:c r="E6" s="15" t="inlineStr">
        <x:is>
          <x:t xml:space="preserve">C</x:t>
        </x:is>
      </x:c>
      <x:c r="F6" s="15" t="inlineStr">
        <x:is>
          <x:t xml:space="preserve">A/R</x:t>
        </x:is>
      </x:c>
      <x:c r="G6" s="15" t="inlineStr">
        <x:is>
          <x:t xml:space="preserve">C</x:t>
        </x:is>
      </x:c>
      <x:c r="H6" s="15" t="inlineStr">
        <x:is>
          <x:t xml:space="preserve">I</x:t>
        </x:is>
      </x:c>
      <x:c r="I6" s="15" t="inlineStr">
        <x:is>
          <x:t xml:space="preserve">I</x:t>
        </x:is>
      </x:c>
      <x:c r="J6" s="15" t="inlineStr">
        <x:is>
          <x:t xml:space="preserve">I</x:t>
        </x:is>
      </x:c>
    </x:row>
    <x:row r="7" ht="22" customHeight="1">
      <x:c r="A7" s="9" t="inlineStr">
        <x:is>
          <x:t xml:space="preserve">Incident response P0/P1</x:t>
        </x:is>
      </x:c>
      <x:c r="B7" s="15" t="inlineStr">
        <x:is>
          <x:t xml:space="preserve">C</x:t>
        </x:is>
      </x:c>
      <x:c r="C7" s="15" t="inlineStr">
        <x:is>
          <x:t xml:space="preserve">C</x:t>
        </x:is>
      </x:c>
      <x:c r="D7" s="15" t="inlineStr">
        <x:is>
          <x:t xml:space="preserve">R</x:t>
        </x:is>
      </x:c>
      <x:c r="E7" s="15" t="inlineStr">
        <x:is>
          <x:t xml:space="preserve">C</x:t>
        </x:is>
      </x:c>
      <x:c r="F7" s="15" t="inlineStr">
        <x:is>
          <x:t xml:space="preserve">C</x:t>
        </x:is>
      </x:c>
      <x:c r="G7" s="15" t="inlineStr">
        <x:is>
          <x:t xml:space="preserve">A/R</x:t>
        </x:is>
      </x:c>
      <x:c r="H7" s="15" t="inlineStr">
        <x:is>
          <x:t xml:space="preserve">C</x:t>
        </x:is>
      </x:c>
      <x:c r="I7" s="15" t="inlineStr">
        <x:is>
          <x:t xml:space="preserve">I</x:t>
        </x:is>
      </x:c>
      <x:c r="J7" s="15" t="inlineStr">
        <x:is>
          <x:t xml:space="preserve">C</x:t>
        </x:is>
      </x:c>
    </x:row>
    <x:row r="8" ht="22" customHeight="1">
      <x:c r="A8" s="9" t="inlineStr">
        <x:is>
          <x:t xml:space="preserve">Alert tuning</x:t>
        </x:is>
      </x:c>
      <x:c r="B8" s="15" t="inlineStr">
        <x:is>
          <x:t xml:space="preserve">I</x:t>
        </x:is>
      </x:c>
      <x:c r="C8" s="15" t="inlineStr">
        <x:is>
          <x:t xml:space="preserve">C</x:t>
        </x:is>
      </x:c>
      <x:c r="D8" s="15" t="inlineStr">
        <x:is>
          <x:t xml:space="preserve">C</x:t>
        </x:is>
      </x:c>
      <x:c r="E8" s="15" t="inlineStr">
        <x:is>
          <x:t xml:space="preserve">C</x:t>
        </x:is>
      </x:c>
      <x:c r="F8" s="15" t="inlineStr">
        <x:is>
          <x:t xml:space="preserve">C</x:t>
        </x:is>
      </x:c>
      <x:c r="G8" s="15" t="inlineStr">
        <x:is>
          <x:t xml:space="preserve">A/R</x:t>
        </x:is>
      </x:c>
      <x:c r="H8" s="15" t="inlineStr">
        <x:is>
          <x:t xml:space="preserve">C</x:t>
        </x:is>
      </x:c>
      <x:c r="I8" s="15" t="inlineStr">
        <x:is>
          <x:t xml:space="preserve">I</x:t>
        </x:is>
      </x:c>
      <x:c r="J8" s="15" t="inlineStr">
        <x:is>
          <x:t xml:space="preserve">I</x:t>
        </x:is>
      </x:c>
    </x:row>
    <x:row r="9" ht="22" customHeight="1">
      <x:c r="A9" s="9" t="inlineStr">
        <x:is>
          <x:t xml:space="preserve">Release promotion to Prod</x:t>
        </x:is>
      </x:c>
      <x:c r="B9" s="15" t="inlineStr">
        <x:is>
          <x:t xml:space="preserve">C</x:t>
        </x:is>
      </x:c>
      <x:c r="C9" s="15" t="inlineStr">
        <x:is>
          <x:t xml:space="preserve">C</x:t>
        </x:is>
      </x:c>
      <x:c r="D9" s="15" t="inlineStr">
        <x:is>
          <x:t xml:space="preserve">C</x:t>
        </x:is>
      </x:c>
      <x:c r="E9" s="15" t="inlineStr">
        <x:is>
          <x:t xml:space="preserve">R</x:t>
        </x:is>
      </x:c>
      <x:c r="F9" s="15" t="inlineStr">
        <x:is>
          <x:t xml:space="preserve">C</x:t>
        </x:is>
      </x:c>
      <x:c r="G9" s="15" t="inlineStr">
        <x:is>
          <x:t xml:space="preserve">C</x:t>
        </x:is>
      </x:c>
      <x:c r="H9" s="15" t="inlineStr">
        <x:is>
          <x:t xml:space="preserve">I</x:t>
        </x:is>
      </x:c>
      <x:c r="I9" s="15" t="inlineStr">
        <x:is>
          <x:t xml:space="preserve">C</x:t>
        </x:is>
      </x:c>
      <x:c r="J9" s="15" t="inlineStr">
        <x:is>
          <x:t xml:space="preserve">A/R</x:t>
        </x:is>
      </x:c>
    </x:row>
    <x:row r="10" ht="22" customHeight="1">
      <x:c r="A10" s="9" t="inlineStr">
        <x:is>
          <x:t xml:space="preserve">Access review</x:t>
        </x:is>
      </x:c>
      <x:c r="B10" s="15" t="inlineStr">
        <x:is>
          <x:t xml:space="preserve">I</x:t>
        </x:is>
      </x:c>
      <x:c r="C10" s="15" t="inlineStr">
        <x:is>
          <x:t xml:space="preserve">C</x:t>
        </x:is>
      </x:c>
      <x:c r="D10" s="15" t="inlineStr">
        <x:is>
          <x:t xml:space="preserve">I</x:t>
        </x:is>
      </x:c>
      <x:c r="E10" s="15" t="inlineStr">
        <x:is>
          <x:t xml:space="preserve">I</x:t>
        </x:is>
      </x:c>
      <x:c r="F10" s="15" t="inlineStr">
        <x:is>
          <x:t xml:space="preserve">A/R</x:t>
        </x:is>
      </x:c>
      <x:c r="G10" s="15" t="inlineStr">
        <x:is>
          <x:t xml:space="preserve">C</x:t>
        </x:is>
      </x:c>
      <x:c r="H10" s="15" t="inlineStr">
        <x:is>
          <x:t xml:space="preserve">C</x:t>
        </x:is>
      </x:c>
      <x:c r="I10" s="15" t="inlineStr">
        <x:is>
          <x:t xml:space="preserve">I</x:t>
        </x:is>
      </x:c>
      <x:c r="J10" s="15" t="inlineStr">
        <x:is>
          <x:t xml:space="preserve">I</x:t>
        </x:is>
      </x:c>
    </x:row>
    <x:row r="11" ht="22" customHeight="1">
      <x:c r="A11" s="9" t="inlineStr">
        <x:is>
          <x:t xml:space="preserve">Backfill execution</x:t>
        </x:is>
      </x:c>
      <x:c r="B11" s="15" t="inlineStr">
        <x:is>
          <x:t xml:space="preserve">C</x:t>
        </x:is>
      </x:c>
      <x:c r="C11" s="15" t="inlineStr">
        <x:is>
          <x:t xml:space="preserve">C</x:t>
        </x:is>
      </x:c>
      <x:c r="D11" s="15" t="inlineStr">
        <x:is>
          <x:t xml:space="preserve">R</x:t>
        </x:is>
      </x:c>
      <x:c r="E11" s="15" t="inlineStr">
        <x:is>
          <x:t xml:space="preserve">C</x:t>
        </x:is>
      </x:c>
      <x:c r="F11" s="15" t="inlineStr">
        <x:is>
          <x:t xml:space="preserve">I</x:t>
        </x:is>
      </x:c>
      <x:c r="G11" s="15" t="inlineStr">
        <x:is>
          <x:t xml:space="preserve">C</x:t>
        </x:is>
      </x:c>
      <x:c r="H11" s="15" t="inlineStr">
        <x:is>
          <x:t xml:space="preserve">C</x:t>
        </x:is>
      </x:c>
      <x:c r="I11" s="15" t="inlineStr">
        <x:is>
          <x:t xml:space="preserve">I</x:t>
        </x:is>
      </x:c>
      <x:c r="J11" s="15" t="inlineStr">
        <x:is>
          <x:t xml:space="preserve">I</x:t>
        </x:is>
      </x:c>
    </x:row>
    <x:row r="12" ht="22" customHeight="1">
      <x:c r="A12" s="9" t="inlineStr">
        <x:is>
          <x:t xml:space="preserve">Decommission source</x:t>
        </x:is>
      </x:c>
      <x:c r="B12" s="15" t="inlineStr">
        <x:is>
          <x:t xml:space="preserve">A</x:t>
        </x:is>
      </x:c>
      <x:c r="C12" s="15" t="inlineStr">
        <x:is>
          <x:t xml:space="preserve">C</x:t>
        </x:is>
      </x:c>
      <x:c r="D12" s="15" t="inlineStr">
        <x:is>
          <x:t xml:space="preserve">R</x:t>
        </x:is>
      </x:c>
      <x:c r="E12" s="15" t="inlineStr">
        <x:is>
          <x:t xml:space="preserve">C</x:t>
        </x:is>
      </x:c>
      <x:c r="F12" s="15" t="inlineStr">
        <x:is>
          <x:t xml:space="preserve">C</x:t>
        </x:is>
      </x:c>
      <x:c r="G12" s="15" t="inlineStr">
        <x:is>
          <x:t xml:space="preserve">C</x:t>
        </x:is>
      </x:c>
      <x:c r="H12" s="15" t="inlineStr">
        <x:is>
          <x:t xml:space="preserve">C</x:t>
        </x:is>
      </x:c>
      <x:c r="I12" s="15" t="inlineStr">
        <x:is>
          <x:t xml:space="preserve">I</x:t>
        </x:is>
      </x:c>
      <x:c r="J12" s="15" t="inlineStr">
        <x:is>
          <x:t xml:space="preserve">I</x:t>
        </x:is>
      </x:c>
    </x:row>
    <x:row r="13" ht="22" customHeight="1">
      <x:c r="A13" s="9" t="inlineStr">
        <x:is>
          <x:t xml:space="preserve">Runbook maintenance</x:t>
        </x:is>
      </x:c>
      <x:c r="B13" s="15" t="inlineStr">
        <x:is>
          <x:t xml:space="preserve">C</x:t>
        </x:is>
      </x:c>
      <x:c r="C13" s="15" t="inlineStr">
        <x:is>
          <x:t xml:space="preserve">C</x:t>
        </x:is>
      </x:c>
      <x:c r="D13" s="15" t="inlineStr">
        <x:is>
          <x:t xml:space="preserve">R</x:t>
        </x:is>
      </x:c>
      <x:c r="E13" s="15" t="inlineStr">
        <x:is>
          <x:t xml:space="preserve">C</x:t>
        </x:is>
      </x:c>
      <x:c r="F13" s="15" t="inlineStr">
        <x:is>
          <x:t xml:space="preserve">C</x:t>
        </x:is>
      </x:c>
      <x:c r="G13" s="15" t="inlineStr">
        <x:is>
          <x:t xml:space="preserve">A/R</x:t>
        </x:is>
      </x:c>
      <x:c r="H13" s="15" t="inlineStr">
        <x:is>
          <x:t xml:space="preserve">C</x:t>
        </x:is>
      </x:c>
      <x:c r="I13" s="15" t="inlineStr">
        <x:is>
          <x:t xml:space="preserve">I</x:t>
        </x:is>
      </x:c>
      <x:c r="J13" s="15" t="inlineStr">
        <x:is>
          <x:t xml:space="preserve">C</x:t>
        </x:is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customWidth="1"/>
    <x:col min="2" max="2" width="12" customWidth="1"/>
    <x:col min="3" max="3" width="56" customWidth="1"/>
    <x:col min="4" max="4" width="16" customWidth="1"/>
    <x:col min="5" max="5" width="12" customWidth="1"/>
    <x:col min="6" max="6" width="12" customWidth="1"/>
    <x:col min="7" max="7" width="20" customWidth="1"/>
    <x:col min="8" max="8" width="38" customWidth="1"/>
    <x:col min="9" max="9" width="12" customWidth="1"/>
    <x:col min="10" max="10" width="14" customWidth="1"/>
  </x:cols>
  <x:sheetData>
    <x:row r="1">
      <x:c r="A1" s="5" t="inlineStr">
        <x:is>
          <x:t xml:space="preserve">RAID Log (Risks, Assumptions, Issues, Dependencies)</x:t>
        </x:is>
      </x:c>
    </x:row>
    <x:row r="2">
      <x:c r="A2" s="11" t="inlineStr">
        <x:is>
          <x:t xml:space="preserve">Use this to track program risks and blockers during delivery.</x:t>
        </x:is>
      </x:c>
    </x:row>
    <x:row r="3" ht="28" customHeight="1">
      <x:c r="A3" s="12" t="inlineStr">
        <x:is>
          <x:t xml:space="preserve">ID</x:t>
        </x:is>
      </x:c>
      <x:c r="B3" s="12" t="inlineStr">
        <x:is>
          <x:t xml:space="preserve">Type</x:t>
        </x:is>
      </x:c>
      <x:c r="C3" s="12" t="inlineStr">
        <x:is>
          <x:t xml:space="preserve">Description</x:t>
        </x:is>
      </x:c>
      <x:c r="D3" s="12" t="inlineStr">
        <x:is>
          <x:t xml:space="preserve">Impact</x:t>
        </x:is>
      </x:c>
      <x:c r="E3" s="12" t="inlineStr">
        <x:is>
          <x:t xml:space="preserve">Likelihood</x:t>
        </x:is>
      </x:c>
      <x:c r="F3" s="12" t="inlineStr">
        <x:is>
          <x:t xml:space="preserve">Severity</x:t>
        </x:is>
      </x:c>
      <x:c r="G3" s="12" t="inlineStr">
        <x:is>
          <x:t xml:space="preserve">Owner</x:t>
        </x:is>
      </x:c>
      <x:c r="H3" s="12" t="inlineStr">
        <x:is>
          <x:t xml:space="preserve">Mitigation/Plan</x:t>
        </x:is>
      </x:c>
      <x:c r="I3" s="12" t="inlineStr">
        <x:is>
          <x:t xml:space="preserve">Status</x:t>
        </x:is>
      </x:c>
      <x:c r="J3" s="12" t="inlineStr">
        <x:is>
          <x:t xml:space="preserve">Target Date</x:t>
        </x:is>
      </x:c>
    </x:row>
    <x:row r="4" ht="32" customHeight="1">
      <x:c r="A4" s="9" t="inlineStr">
        <x:is>
          <x:t xml:space="preserve">R-01</x:t>
        </x:is>
      </x:c>
      <x:c r="B4" s="9" t="inlineStr">
        <x:is>
          <x:t xml:space="preserve">Risk</x:t>
        </x:is>
      </x:c>
      <x:c r="C4" s="14" t="inlineStr">
        <x:is>
          <x:t xml:space="preserve">API vendor rate limits constrain schedules and cause freshness lag.</x:t>
        </x:is>
      </x:c>
      <x:c r="D4" s="9" t="inlineStr">
        <x:is>
          <x:t xml:space="preserve">High</x:t>
        </x:is>
      </x:c>
      <x:c r="E4" s="9" t="inlineStr">
        <x:is>
          <x:t xml:space="preserve">Medium</x:t>
        </x:is>
      </x:c>
      <x:c r="F4" s="9" t="inlineStr">
        <x:is>
          <x:t xml:space="preserve">High</x:t>
        </x:is>
      </x:c>
      <x:c r="G4" s="9" t="inlineStr">
        <x:is>
          <x:t xml:space="preserve">Data Engineer</x:t>
        </x:is>
      </x:c>
      <x:c r="H4" s="14" t="inlineStr">
        <x:is>
          <x:t xml:space="preserve">Implement throttling/vendor profiles; negotiate higher limits; stagger schedules.</x:t>
        </x:is>
      </x:c>
      <x:c r="I4" s="9" t="inlineStr">
        <x:is>
          <x:t xml:space="preserve">Open</x:t>
        </x:is>
      </x:c>
      <x:c r="J4" s="9" t="inlineStr">
        <x:is>
          <x:t xml:space="preserve"/>
        </x:is>
      </x:c>
    </x:row>
    <x:row r="5" ht="32" customHeight="1">
      <x:c r="A5" s="9" t="inlineStr">
        <x:is>
          <x:t xml:space="preserve">R-02</x:t>
        </x:is>
      </x:c>
      <x:c r="B5" s="9" t="inlineStr">
        <x:is>
          <x:t xml:space="preserve">Risk</x:t>
        </x:is>
      </x:c>
      <x:c r="C5" s="14" t="inlineStr">
        <x:is>
          <x:t xml:space="preserve">Unclear source ownership leads to stalled onboarding and unresolved defects.</x:t>
        </x:is>
      </x:c>
      <x:c r="D5" s="9" t="inlineStr">
        <x:is>
          <x:t xml:space="preserve">High</x:t>
        </x:is>
      </x:c>
      <x:c r="E5" s="9" t="inlineStr">
        <x:is>
          <x:t xml:space="preserve">High</x:t>
        </x:is>
      </x:c>
      <x:c r="F5" s="9" t="inlineStr">
        <x:is>
          <x:t xml:space="preserve">High</x:t>
        </x:is>
      </x:c>
      <x:c r="G5" s="9" t="inlineStr">
        <x:is>
          <x:t xml:space="preserve">Product Owner</x:t>
        </x:is>
      </x:c>
      <x:c r="H5" s="14" t="inlineStr">
        <x:is>
          <x:t xml:space="preserve">Enforce onboarding gate: owner + SLA required; assign domain owners early.</x:t>
        </x:is>
      </x:c>
      <x:c r="I5" s="9" t="inlineStr">
        <x:is>
          <x:t xml:space="preserve">Open</x:t>
        </x:is>
      </x:c>
      <x:c r="J5" s="9" t="inlineStr">
        <x:is>
          <x:t xml:space="preserve"/>
        </x:is>
      </x:c>
    </x:row>
    <x:row r="6" ht="32" customHeight="1">
      <x:c r="A6" s="9" t="inlineStr">
        <x:is>
          <x:t xml:space="preserve">R-03</x:t>
        </x:is>
      </x:c>
      <x:c r="B6" s="9" t="inlineStr">
        <x:is>
          <x:t xml:space="preserve">Risk</x:t>
        </x:is>
      </x:c>
      <x:c r="C6" s="14" t="inlineStr">
        <x:is>
          <x:t xml:space="preserve">Credential rotation not automated leading to outages.</x:t>
        </x:is>
      </x:c>
      <x:c r="D6" s="9" t="inlineStr">
        <x:is>
          <x:t xml:space="preserve">High</x:t>
        </x:is>
      </x:c>
      <x:c r="E6" s="9" t="inlineStr">
        <x:is>
          <x:t xml:space="preserve">Medium</x:t>
        </x:is>
      </x:c>
      <x:c r="F6" s="9" t="inlineStr">
        <x:is>
          <x:t xml:space="preserve">High</x:t>
        </x:is>
      </x:c>
      <x:c r="G6" s="9" t="inlineStr">
        <x:is>
          <x:t xml:space="preserve">Security/Identity Eng</x:t>
        </x:is>
      </x:c>
      <x:c r="H6" s="14" t="inlineStr">
        <x:is>
          <x:t xml:space="preserve">Implement rotation SOP + calendar reminders; automate where possible.</x:t>
        </x:is>
      </x:c>
      <x:c r="I6" s="9" t="inlineStr">
        <x:is>
          <x:t xml:space="preserve">Open</x:t>
        </x:is>
      </x:c>
      <x:c r="J6" s="9" t="inlineStr">
        <x:is>
          <x:t xml:space="preserve"/>
        </x:is>
      </x:c>
    </x:row>
    <x:row r="7" ht="32" customHeight="1">
      <x:c r="A7" s="9" t="inlineStr">
        <x:is>
          <x:t xml:space="preserve">R-04</x:t>
        </x:is>
      </x:c>
      <x:c r="B7" s="9" t="inlineStr">
        <x:is>
          <x:t xml:space="preserve">Risk</x:t>
        </x:is>
      </x:c>
      <x:c r="C7" s="14" t="inlineStr">
        <x:is>
          <x:t xml:space="preserve">Schema drift causes frequent pipeline breaks and DLQ growth.</x:t>
        </x:is>
      </x:c>
      <x:c r="D7" s="9" t="inlineStr">
        <x:is>
          <x:t xml:space="preserve">Medium</x:t>
        </x:is>
      </x:c>
      <x:c r="E7" s="9" t="inlineStr">
        <x:is>
          <x:t xml:space="preserve">High</x:t>
        </x:is>
      </x:c>
      <x:c r="F7" s="9" t="inlineStr">
        <x:is>
          <x:t xml:space="preserve">High</x:t>
        </x:is>
      </x:c>
      <x:c r="G7" s="9" t="inlineStr">
        <x:is>
          <x:t xml:space="preserve">Data Platform Architect</x:t>
        </x:is>
      </x:c>
      <x:c r="H7" s="14" t="inlineStr">
        <x:is>
          <x:t xml:space="preserve">Schema drift detection + quarantine + alerts; contract tests for critical sources.</x:t>
        </x:is>
      </x:c>
      <x:c r="I7" s="9" t="inlineStr">
        <x:is>
          <x:t xml:space="preserve">Open</x:t>
        </x:is>
      </x:c>
      <x:c r="J7" s="9" t="inlineStr">
        <x:is>
          <x:t xml:space="preserve"/>
        </x:is>
      </x:c>
    </x:row>
    <x:row r="8" ht="32" customHeight="1">
      <x:c r="A8" s="9" t="inlineStr">
        <x:is>
          <x:t xml:space="preserve">R-05</x:t>
        </x:is>
      </x:c>
      <x:c r="B8" s="9" t="inlineStr">
        <x:is>
          <x:t xml:space="preserve">Risk</x:t>
        </x:is>
      </x:c>
      <x:c r="C8" s="14" t="inlineStr">
        <x:is>
          <x:t xml:space="preserve">Observability gaps cause delayed detection of failures.</x:t>
        </x:is>
      </x:c>
      <x:c r="D8" s="9" t="inlineStr">
        <x:is>
          <x:t xml:space="preserve">High</x:t>
        </x:is>
      </x:c>
      <x:c r="E8" s="9" t="inlineStr">
        <x:is>
          <x:t xml:space="preserve">Medium</x:t>
        </x:is>
      </x:c>
      <x:c r="F8" s="9" t="inlineStr">
        <x:is>
          <x:t xml:space="preserve">High</x:t>
        </x:is>
      </x:c>
      <x:c r="G8" s="9" t="inlineStr">
        <x:is>
          <x:t xml:space="preserve">SRE/Operations</x:t>
        </x:is>
      </x:c>
      <x:c r="H8" s="14" t="inlineStr">
        <x:is>
          <x:t xml:space="preserve">Implement metrics + dashboards + alerts before scaling onboarding.</x:t>
        </x:is>
      </x:c>
      <x:c r="I8" s="9" t="inlineStr">
        <x:is>
          <x:t xml:space="preserve">Open</x:t>
        </x:is>
      </x:c>
      <x:c r="J8" s="9" t="inlineStr">
        <x:is>
          <x:t xml:space="preserve"/>
        </x:is>
      </x:c>
    </x:row>
    <x:row r="9" ht="32" customHeight="1">
      <x:c r="A9" s="9" t="inlineStr">
        <x:is>
          <x:t xml:space="preserve">A-01</x:t>
        </x:is>
      </x:c>
      <x:c r="B9" s="9" t="inlineStr">
        <x:is>
          <x:t xml:space="preserve">Assumption</x:t>
        </x:is>
      </x:c>
      <x:c r="C9" s="14" t="inlineStr">
        <x:is>
          <x:t xml:space="preserve">Unity Catalog is enabled and will be the governance control plane.</x:t>
        </x:is>
      </x:c>
      <x:c r="D9" s="9" t="inlineStr">
        <x:is>
          <x:t xml:space="preserve"/>
        </x:is>
      </x:c>
      <x:c r="E9" s="9" t="inlineStr">
        <x:is>
          <x:t xml:space="preserve"/>
        </x:is>
      </x:c>
      <x:c r="F9" s="9" t="inlineStr">
        <x:is>
          <x:t xml:space="preserve"/>
        </x:is>
      </x:c>
      <x:c r="G9" s="9" t="inlineStr">
        <x:is>
          <x:t xml:space="preserve">Data Platform Architect</x:t>
        </x:is>
      </x:c>
      <x:c r="H9" s="14" t="inlineStr">
        <x:is>
          <x:t xml:space="preserve">If not, define alternative ACL/governance approach.</x:t>
        </x:is>
      </x:c>
      <x:c r="I9" s="9" t="inlineStr">
        <x:is>
          <x:t xml:space="preserve">Open</x:t>
        </x:is>
      </x:c>
      <x:c r="J9" s="9" t="inlineStr">
        <x:is>
          <x:t xml:space="preserve"/>
        </x:is>
      </x:c>
    </x:row>
    <x:row r="10" ht="32" customHeight="1">
      <x:c r="A10" s="9" t="inlineStr">
        <x:is>
          <x:t xml:space="preserve">D-01</x:t>
        </x:is>
      </x:c>
      <x:c r="B10" s="9" t="inlineStr">
        <x:is>
          <x:t xml:space="preserve">Dependency</x:t>
        </x:is>
      </x:c>
      <x:c r="C10" s="14" t="inlineStr">
        <x:is>
          <x:t xml:space="preserve">External secret manager access and enterprise onboarding approvals.</x:t>
        </x:is>
      </x:c>
      <x:c r="D10" s="9" t="inlineStr">
        <x:is>
          <x:t xml:space="preserve"/>
        </x:is>
      </x:c>
      <x:c r="E10" s="9" t="inlineStr">
        <x:is>
          <x:t xml:space="preserve"/>
        </x:is>
      </x:c>
      <x:c r="F10" s="9" t="inlineStr">
        <x:is>
          <x:t xml:space="preserve"/>
        </x:is>
      </x:c>
      <x:c r="G10" s="9" t="inlineStr">
        <x:is>
          <x:t xml:space="preserve">Security/Identity Eng</x:t>
        </x:is>
      </x:c>
      <x:c r="H10" s="14" t="inlineStr">
        <x:is>
          <x:t xml:space="preserve">Start approvals in Phase 0; track lead times.</x:t>
        </x:is>
      </x:c>
      <x:c r="I10" s="9" t="inlineStr">
        <x:is>
          <x:t xml:space="preserve">Open</x:t>
        </x:is>
      </x:c>
      <x:c r="J10" s="9" t="inlineStr">
        <x:is>
          <x:t xml:space="preserve"/>
        </x:is>
      </x:c>
    </x:row>
    <x:row r="11" ht="32" customHeight="1">
      <x:c r="A11" s="9" t="inlineStr">
        <x:is>
          <x:t xml:space="preserve">I-01</x:t>
        </x:is>
      </x:c>
      <x:c r="B11" s="9" t="inlineStr">
        <x:is>
          <x:t xml:space="preserve">Issue</x:t>
        </x:is>
      </x:c>
      <x:c r="C11" s="14" t="inlineStr">
        <x:is>
          <x:t xml:space="preserve">(placeholder)</x:t>
        </x:is>
      </x:c>
      <x:c r="D11" s="9" t="inlineStr">
        <x:is>
          <x:t xml:space="preserve"/>
        </x:is>
      </x:c>
      <x:c r="E11" s="9" t="inlineStr">
        <x:is>
          <x:t xml:space="preserve"/>
        </x:is>
      </x:c>
      <x:c r="F11" s="9" t="inlineStr">
        <x:is>
          <x:t xml:space="preserve"/>
        </x:is>
      </x:c>
      <x:c r="G11" s="9" t="inlineStr">
        <x:is>
          <x:t xml:space="preserve">SRE/Operations</x:t>
        </x:is>
      </x:c>
      <x:c r="H11" s="14" t="inlineStr">
        <x:is>
          <x:t xml:space="preserve"/>
        </x:is>
      </x:c>
      <x:c r="I11" s="9" t="inlineStr">
        <x:is>
          <x:t xml:space="preserve">Open</x:t>
        </x:is>
      </x:c>
      <x:c r="J11" s="9" t="inlineStr">
        <x:is>
          <x:t xml:space="preserve"/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customWidth="1"/>
    <x:col min="2" max="2" width="12" customWidth="1"/>
    <x:col min="3" max="3" width="10" customWidth="1"/>
    <x:col min="4" max="4" width="12" customWidth="1"/>
    <x:col min="5" max="5" width="16" customWidth="1"/>
    <x:col min="6" max="6" width="14" customWidth="1"/>
    <x:col min="7" max="7" width="14" customWidth="1"/>
    <x:col min="8" max="8" width="16" customWidth="1"/>
    <x:col min="9" max="9" width="38" customWidth="1"/>
  </x:cols>
  <x:sheetData>
    <x:row r="1">
      <x:c r="A1" s="5" t="inlineStr">
        <x:is>
          <x:t xml:space="preserve">Onboarding Waves (scale-out plan)</x:t>
        </x:is>
      </x:c>
    </x:row>
    <x:row r="2">
      <x:c r="A2" s="11" t="inlineStr">
        <x:is>
          <x:t xml:space="preserve">Adjust API counts and staffing assumptions; link to Master tasks IMP-49..IMP-52.</x:t>
        </x:is>
      </x:c>
    </x:row>
    <x:row r="3" ht="28" customHeight="1">
      <x:c r="A3" s="12" t="inlineStr">
        <x:is>
          <x:t xml:space="preserve">Wave</x:t>
        </x:is>
      </x:c>
      <x:c r="B3" s="12" t="inlineStr">
        <x:is>
          <x:t xml:space="preserve">Start Week</x:t>
        </x:is>
      </x:c>
      <x:c r="C3" s="12" t="inlineStr">
        <x:is>
          <x:t xml:space="preserve">End Week</x:t>
        </x:is>
      </x:c>
      <x:c r="D3" s="12" t="inlineStr">
        <x:is>
          <x:t xml:space="preserve">Planned APIs</x:t>
        </x:is>
      </x:c>
      <x:c r="E3" s="12" t="inlineStr">
        <x:is>
          <x:t xml:space="preserve">Mix (Std/Complex)</x:t>
        </x:is>
      </x:c>
      <x:c r="F3" s="12" t="inlineStr">
        <x:is>
          <x:t xml:space="preserve">Assumed Eng FTE</x:t>
        </x:is>
      </x:c>
      <x:c r="G3" s="12" t="inlineStr">
        <x:is>
          <x:t xml:space="preserve">Est PD per API</x:t>
        </x:is>
      </x:c>
      <x:c r="H3" s="12" t="inlineStr">
        <x:is>
          <x:t xml:space="preserve">Total Effort (PD)</x:t>
        </x:is>
      </x:c>
      <x:c r="I3" s="12" t="inlineStr">
        <x:is>
          <x:t xml:space="preserve">Notes</x:t>
        </x:is>
      </x:c>
    </x:row>
    <x:row r="4" ht="26" customHeight="1">
      <x:c r="A4" s="15" t="inlineStr">
        <x:is>
          <x:t xml:space="preserve">Pilot</x:t>
        </x:is>
      </x:c>
      <x:c r="B4" s="15" t="n">
        <x:v>9</x:v>
      </x:c>
      <x:c r="C4" s="15" t="n">
        <x:v>12</x:v>
      </x:c>
      <x:c r="D4" s="15" t="n">
        <x:v>8</x:v>
      </x:c>
      <x:c r="E4" s="9" t="inlineStr">
        <x:is>
          <x:t xml:space="preserve">5/3</x:t>
        </x:is>
      </x:c>
      <x:c r="F4" s="15" t="n">
        <x:v>3</x:v>
      </x:c>
      <x:c r="G4" s="15" t="n">
        <x:v>2.5</x:v>
      </x:c>
      <x:c r="H4" s="16">
        <x:f>D4*G4</x:f>
        <x:v>20</x:v>
      </x:c>
    </x:row>
    <x:row r="5" ht="26" customHeight="1">
      <x:c r="A5" s="15" t="inlineStr">
        <x:is>
          <x:t xml:space="preserve">Wave 1</x:t>
        </x:is>
      </x:c>
      <x:c r="B5" s="15" t="n">
        <x:v>14</x:v>
      </x:c>
      <x:c r="C5" s="15" t="n">
        <x:v>16</x:v>
      </x:c>
      <x:c r="D5" s="15" t="n">
        <x:v>20</x:v>
      </x:c>
      <x:c r="E5" s="9" t="inlineStr">
        <x:is>
          <x:t xml:space="preserve">16/4</x:t>
        </x:is>
      </x:c>
      <x:c r="F5" s="15" t="n">
        <x:v>4</x:v>
      </x:c>
      <x:c r="G5" s="15" t="n">
        <x:v>2</x:v>
      </x:c>
      <x:c r="H5" s="16">
        <x:f>D5*G5</x:f>
        <x:v>40</x:v>
      </x:c>
    </x:row>
    <x:row r="6" ht="26" customHeight="1">
      <x:c r="A6" s="15" t="inlineStr">
        <x:is>
          <x:t xml:space="preserve">Wave 2</x:t>
        </x:is>
      </x:c>
      <x:c r="B6" s="15" t="n">
        <x:v>17</x:v>
      </x:c>
      <x:c r="C6" s="15" t="n">
        <x:v>19</x:v>
      </x:c>
      <x:c r="D6" s="15" t="n">
        <x:v>30</x:v>
      </x:c>
      <x:c r="E6" s="9" t="inlineStr">
        <x:is>
          <x:t xml:space="preserve">22/8</x:t>
        </x:is>
      </x:c>
      <x:c r="F6" s="15" t="n">
        <x:v>5</x:v>
      </x:c>
      <x:c r="G6" s="15" t="n">
        <x:v>2.2</x:v>
      </x:c>
      <x:c r="H6" s="16">
        <x:f>D6*G6</x:f>
        <x:v>66</x:v>
      </x:c>
    </x:row>
    <x:row r="7" ht="26" customHeight="1">
      <x:c r="A7" s="15" t="inlineStr">
        <x:is>
          <x:t xml:space="preserve">Wave 3</x:t>
        </x:is>
      </x:c>
      <x:c r="B7" s="15" t="n">
        <x:v>20</x:v>
      </x:c>
      <x:c r="C7" s="15" t="n">
        <x:v>24</x:v>
      </x:c>
      <x:c r="D7" s="15" t="n">
        <x:v>40</x:v>
      </x:c>
      <x:c r="E7" s="9" t="inlineStr">
        <x:is>
          <x:t xml:space="preserve">28/12</x:t>
        </x:is>
      </x:c>
      <x:c r="F7" s="15" t="n">
        <x:v>6</x:v>
      </x:c>
      <x:c r="G7" s="15" t="n">
        <x:v>2.5</x:v>
      </x:c>
      <x:c r="H7" s="16">
        <x:f>D7*G7</x:f>
        <x:v>100</x:v>
      </x:c>
    </x:row>
    <x:row r="9">
      <x:c r="A9" s="30" t="inlineStr">
        <x:is>
          <x:t xml:space="preserve">TOTAL</x:t>
        </x:is>
      </x:c>
      <x:c r="D9" s="30">
        <x:f>SUM(D4:D7)</x:f>
        <x:v>98</x:v>
      </x:c>
      <x:c r="H9" s="31">
        <x:f>SUM(H4:H7)</x:f>
        <x:v>226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customWidth="1"/>
    <x:col min="2" max="2" width="58" customWidth="1"/>
    <x:col min="3" max="3" width="42" customWidth="1"/>
    <x:col min="4" max="4" width="18" customWidth="1"/>
    <x:col min="5" max="5" width="18" customWidth="1"/>
    <x:col min="6" max="6" width="14" customWidth="1"/>
  </x:cols>
  <x:sheetData>
    <x:row r="1">
      <x:c r="A1" s="5" t="inlineStr">
        <x:is>
          <x:t xml:space="preserve">Severity / Priority Matrix (P0–P3)</x:t>
        </x:is>
      </x:c>
    </x:row>
    <x:row r="3" ht="28" customHeight="1">
      <x:c r="A3" s="12" t="inlineStr">
        <x:is>
          <x:t xml:space="preserve">Priority</x:t>
        </x:is>
      </x:c>
      <x:c r="B3" s="12" t="inlineStr">
        <x:is>
          <x:t xml:space="preserve">Definition / Examples</x:t>
        </x:is>
      </x:c>
      <x:c r="C3" s="12" t="inlineStr">
        <x:is>
          <x:t xml:space="preserve">Response Expectations</x:t>
        </x:is>
      </x:c>
      <x:c r="D3" s="12" t="inlineStr">
        <x:is>
          <x:t xml:space="preserve">Acknowledge Target</x:t>
        </x:is>
      </x:c>
      <x:c r="E3" s="12" t="inlineStr">
        <x:is>
          <x:t xml:space="preserve">Resolution Target</x:t>
        </x:is>
      </x:c>
      <x:c r="F3" s="12" t="inlineStr">
        <x:is>
          <x:t xml:space="preserve">Postmortem</x:t>
        </x:is>
      </x:c>
    </x:row>
    <x:row r="4" ht="60" customHeight="1">
      <x:c r="A4" s="15" t="inlineStr">
        <x:is>
          <x:t xml:space="preserve">P0</x:t>
        </x:is>
      </x:c>
      <x:c r="B4" s="14" t="inlineStr">
        <x:is>
          <x:t xml:space="preserve">Critical platform outage OR Tier-0 source down; data loss risk; security incident.</x:t>
        </x:is>
      </x:c>
      <x:c r="C4" s="14" t="inlineStr">
        <x:is>
          <x:t xml:space="preserve">Page on-call immediately; war room; updates every 30–60 mins; postmortem required.</x:t>
        </x:is>
      </x:c>
      <x:c r="D4" s="15" t="inlineStr">
        <x:is>
          <x:t xml:space="preserve">&lt;=15 mins</x:t>
        </x:is>
      </x:c>
      <x:c r="E4" s="15" t="inlineStr">
        <x:is>
          <x:t xml:space="preserve">Restore/mitigate ASAP</x:t>
        </x:is>
      </x:c>
      <x:c r="F4" s="15" t="inlineStr">
        <x:is>
          <x:t xml:space="preserve">Required</x:t>
        </x:is>
      </x:c>
    </x:row>
    <x:row r="5" ht="60" customHeight="1">
      <x:c r="A5" s="15" t="inlineStr">
        <x:is>
          <x:t xml:space="preserve">P1</x:t>
        </x:is>
      </x:c>
      <x:c r="B5" s="14" t="inlineStr">
        <x:is>
          <x:t xml:space="preserve">Major Tier-1 source failing; SLA breach likely within hours; widespread partial failure; severe but recoverable corruption.</x:t>
        </x:is>
      </x:c>
      <x:c r="C5" s="14" t="inlineStr">
        <x:is>
          <x:t xml:space="preserve">Page on-call per coverage; mitigation same day; PIR required if customer impact.</x:t>
        </x:is>
      </x:c>
      <x:c r="D5" s="15" t="inlineStr">
        <x:is>
          <x:t xml:space="preserve">&lt;=30 mins</x:t>
        </x:is>
      </x:c>
      <x:c r="E5" s="15" t="inlineStr">
        <x:is>
          <x:t xml:space="preserve">Same day</x:t>
        </x:is>
      </x:c>
      <x:c r="F5" s="15" t="inlineStr">
        <x:is>
          <x:t xml:space="preserve">Usually</x:t>
        </x:is>
      </x:c>
    </x:row>
    <x:row r="6" ht="60" customHeight="1">
      <x:c r="A6" s="15" t="inlineStr">
        <x:is>
          <x:t xml:space="preserve">P2</x:t>
        </x:is>
      </x:c>
      <x:c r="B6" s="14" t="inlineStr">
        <x:is>
          <x:t xml:space="preserve">Non-critical source failing repeatedly; freshness lag breach for Tier-2; elevated 429s but auto-recovering; schema changes quarantined.</x:t>
        </x:is>
      </x:c>
      <x:c r="C6" s="14" t="inlineStr">
        <x:is>
          <x:t xml:space="preserve">Ticket + notify owner; fix within agreed SLA (e.g., 3–5 business days).</x:t>
        </x:is>
      </x:c>
      <x:c r="D6" s="15" t="inlineStr">
        <x:is>
          <x:t xml:space="preserve">&lt;=4 hrs (biz)</x:t>
        </x:is>
      </x:c>
      <x:c r="E6" s="15" t="inlineStr">
        <x:is>
          <x:t xml:space="preserve">3–5 biz days</x:t>
        </x:is>
      </x:c>
      <x:c r="F6" s="15" t="inlineStr">
        <x:is>
          <x:t xml:space="preserve">Optional</x:t>
        </x:is>
      </x:c>
    </x:row>
    <x:row r="7" ht="60" customHeight="1">
      <x:c r="A7" s="15" t="inlineStr">
        <x:is>
          <x:t xml:space="preserve">P3</x:t>
        </x:is>
      </x:c>
      <x:c r="B7" s="14" t="inlineStr">
        <x:is>
          <x:t xml:space="preserve">Cosmetic/non-urgent: dashboard tweaks, transient one-off recovered failures, small enhancements.</x:t>
        </x:is>
      </x:c>
      <x:c r="C7" s="14" t="inlineStr">
        <x:is>
          <x:t xml:space="preserve">Backlog grooming; schedule into sprint.</x:t>
        </x:is>
      </x:c>
      <x:c r="D7" s="15" t="inlineStr">
        <x:is>
          <x:t xml:space="preserve">N/A</x:t>
        </x:is>
      </x:c>
      <x:c r="E7" s="15" t="inlineStr">
        <x:is>
          <x:t xml:space="preserve">Planned</x:t>
        </x:is>
      </x:c>
      <x:c r="F7" s="15" t="inlineStr">
        <x:is>
          <x:t xml:space="preserve">No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customWidth="1"/>
    <x:col min="2" max="2" width="40" customWidth="1"/>
    <x:col min="3" max="3" width="12" customWidth="1"/>
    <x:col min="4" max="4" width="16" customWidth="1"/>
    <x:col min="5" max="5" width="10" customWidth="1"/>
    <x:col min="6" max="6" width="10" customWidth="1"/>
    <x:col min="7" max="7" width="4" customWidth="1"/>
    <x:col min="8" max="8" width="4" customWidth="1"/>
    <x:col min="9" max="9" width="4" customWidth="1"/>
    <x:col min="10" max="10" width="4" customWidth="1"/>
    <x:col min="11" max="11" width="4" customWidth="1"/>
    <x:col min="12" max="12" width="4" customWidth="1"/>
    <x:col min="13" max="13" width="4" customWidth="1"/>
    <x:col min="14" max="14" width="4" customWidth="1"/>
    <x:col min="15" max="15" width="4" customWidth="1"/>
    <x:col min="16" max="16" width="4" customWidth="1"/>
    <x:col min="17" max="17" width="4" customWidth="1"/>
    <x:col min="18" max="18" width="4" customWidth="1"/>
    <x:col min="19" max="19" width="4" customWidth="1"/>
    <x:col min="20" max="20" width="4" customWidth="1"/>
    <x:col min="21" max="21" width="4" customWidth="1"/>
    <x:col min="22" max="22" width="4" customWidth="1"/>
    <x:col min="23" max="23" width="4" customWidth="1"/>
    <x:col min="24" max="24" width="4" customWidth="1"/>
    <x:col min="25" max="25" width="4" customWidth="1"/>
    <x:col min="26" max="26" width="4" customWidth="1"/>
    <x:col min="27" max="27" width="4" customWidth="1"/>
    <x:col min="28" max="28" width="4" customWidth="1"/>
    <x:col min="29" max="29" width="4" customWidth="1"/>
    <x:col min="30" max="30" width="4" customWidth="1"/>
  </x:cols>
  <x:sheetData>
    <x:row r="1">
      <x:c r="A1" s="5" t="inlineStr">
        <x:is>
          <x:t xml:space="preserve">Gantt (key tasks &amp; milestones)</x:t>
        </x:is>
      </x:c>
    </x:row>
    <x:row r="2">
      <x:c r="A2" s="11" t="inlineStr">
        <x:is>
          <x:t xml:space="preserve">This view pulls Start/End week from the Master sheet via INDEX/MATCH.</x:t>
        </x:is>
      </x:c>
    </x:row>
    <x:row r="4" ht="28" customHeight="1">
      <x:c r="A4" s="12" t="inlineStr">
        <x:is>
          <x:t xml:space="preserve">Task ID</x:t>
        </x:is>
      </x:c>
      <x:c r="B4" s="12" t="inlineStr">
        <x:is>
          <x:t xml:space="preserve">Task Name</x:t>
        </x:is>
      </x:c>
      <x:c r="C4" s="12" t="inlineStr">
        <x:is>
          <x:t xml:space="preserve">Category</x:t>
        </x:is>
      </x:c>
      <x:c r="D4" s="12" t="inlineStr">
        <x:is>
          <x:t xml:space="preserve">Workstream</x:t>
        </x:is>
      </x:c>
      <x:c r="E4" s="12" t="inlineStr">
        <x:is>
          <x:t xml:space="preserve">Start Week</x:t>
        </x:is>
      </x:c>
      <x:c r="F4" s="32" t="inlineStr">
        <x:is>
          <x:t xml:space="preserve">End Week</x:t>
        </x:is>
      </x:c>
      <x:c r="G4" s="33" t="n">
        <x:v>1</x:v>
      </x:c>
      <x:c r="H4" s="33" t="n">
        <x:v>2</x:v>
      </x:c>
      <x:c r="I4" s="33" t="n">
        <x:v>3</x:v>
      </x:c>
      <x:c r="J4" s="33" t="n">
        <x:v>4</x:v>
      </x:c>
      <x:c r="K4" s="33" t="n">
        <x:v>5</x:v>
      </x:c>
      <x:c r="L4" s="33" t="n">
        <x:v>6</x:v>
      </x:c>
      <x:c r="M4" s="33" t="n">
        <x:v>7</x:v>
      </x:c>
      <x:c r="N4" s="33" t="n">
        <x:v>8</x:v>
      </x:c>
      <x:c r="O4" s="33" t="n">
        <x:v>9</x:v>
      </x:c>
      <x:c r="P4" s="33" t="n">
        <x:v>10</x:v>
      </x:c>
      <x:c r="Q4" s="33" t="n">
        <x:v>11</x:v>
      </x:c>
      <x:c r="R4" s="33" t="n">
        <x:v>12</x:v>
      </x:c>
      <x:c r="S4" s="33" t="n">
        <x:v>13</x:v>
      </x:c>
      <x:c r="T4" s="33" t="n">
        <x:v>14</x:v>
      </x:c>
      <x:c r="U4" s="33" t="n">
        <x:v>15</x:v>
      </x:c>
      <x:c r="V4" s="33" t="n">
        <x:v>16</x:v>
      </x:c>
      <x:c r="W4" s="33" t="n">
        <x:v>17</x:v>
      </x:c>
      <x:c r="X4" s="33" t="n">
        <x:v>18</x:v>
      </x:c>
      <x:c r="Y4" s="33" t="n">
        <x:v>19</x:v>
      </x:c>
      <x:c r="Z4" s="33" t="n">
        <x:v>20</x:v>
      </x:c>
      <x:c r="AA4" s="33" t="n">
        <x:v>21</x:v>
      </x:c>
      <x:c r="AB4" s="33" t="n">
        <x:v>22</x:v>
      </x:c>
      <x:c r="AC4" s="33" t="n">
        <x:v>23</x:v>
      </x:c>
      <x:c r="AD4" s="33" t="n">
        <x:v>24</x:v>
      </x:c>
    </x:row>
    <x:row r="5" ht="18" customHeight="1">
      <x:c r="A5" s="15" t="inlineStr">
        <x:is>
          <x:t xml:space="preserve">IMP-55</x:t>
        </x:is>
      </x:c>
      <x:c r="B5" s="9" t="str">
        <x:f>INDEX(Master!$F$4:$F$141,MATCH($A5,Master!$A$4:$A$141,0))</x:f>
        <x:v>Architecture review &amp; signoff</x:v>
      </x:c>
      <x:c r="C5" s="15" t="str">
        <x:f>INDEX(Master!$B$4:$B$141,MATCH($A5,Master!$A$4:$A$141,0))</x:f>
        <x:v>Implementation</x:v>
      </x:c>
      <x:c r="D5" s="9" t="str">
        <x:f>INDEX(Master!$C$4:$C$141,MATCH($A5,Master!$A$4:$A$141,0))</x:f>
        <x:v>Architecture</x:v>
      </x:c>
      <x:c r="E5" s="15" t="str">
        <x:f>INDEX(Master!$O$4:$O$141,MATCH($A5,Master!$A$4:$A$141,0))</x:f>
        <x:v>3</x:v>
      </x:c>
      <x:c r="F5" s="34" t="str">
        <x:f>INDEX(Master!$P$4:$P$141,MATCH($A5,Master!$A$4:$A$141,0))</x:f>
        <x:v>3</x:v>
      </x:c>
      <x:c r="G5" s="15" t="inlineStr">
        <x:is>
          <x:t xml:space="preserve"/>
        </x:is>
      </x:c>
      <x:c r="H5" s="15" t="inlineStr">
        <x:is>
          <x:t xml:space="preserve"/>
        </x:is>
      </x:c>
      <x:c r="I5" s="15" t="inlineStr">
        <x:is>
          <x:t xml:space="preserve"/>
        </x:is>
      </x:c>
      <x:c r="J5" s="15" t="inlineStr">
        <x:is>
          <x:t xml:space="preserve"/>
        </x:is>
      </x:c>
      <x:c r="K5" s="15" t="inlineStr">
        <x:is>
          <x:t xml:space="preserve"/>
        </x:is>
      </x:c>
      <x:c r="L5" s="15" t="inlineStr">
        <x:is>
          <x:t xml:space="preserve"/>
        </x:is>
      </x:c>
      <x:c r="M5" s="15" t="inlineStr">
        <x:is>
          <x:t xml:space="preserve"/>
        </x:is>
      </x:c>
      <x:c r="N5" s="15" t="inlineStr">
        <x:is>
          <x:t xml:space="preserve"/>
        </x:is>
      </x:c>
      <x:c r="O5" s="15" t="inlineStr">
        <x:is>
          <x:t xml:space="preserve"/>
        </x:is>
      </x:c>
      <x:c r="P5" s="15" t="inlineStr">
        <x:is>
          <x:t xml:space="preserve"/>
        </x:is>
      </x:c>
      <x:c r="Q5" s="15" t="inlineStr">
        <x:is>
          <x:t xml:space="preserve"/>
        </x:is>
      </x:c>
      <x:c r="R5" s="15" t="inlineStr">
        <x:is>
          <x:t xml:space="preserve"/>
        </x:is>
      </x:c>
      <x:c r="S5" s="15" t="inlineStr">
        <x:is>
          <x:t xml:space="preserve"/>
        </x:is>
      </x:c>
      <x:c r="T5" s="15" t="inlineStr">
        <x:is>
          <x:t xml:space="preserve"/>
        </x:is>
      </x:c>
      <x:c r="U5" s="15" t="inlineStr">
        <x:is>
          <x:t xml:space="preserve"/>
        </x:is>
      </x:c>
      <x:c r="V5" s="15" t="inlineStr">
        <x:is>
          <x:t xml:space="preserve"/>
        </x:is>
      </x:c>
      <x:c r="W5" s="15" t="inlineStr">
        <x:is>
          <x:t xml:space="preserve"/>
        </x:is>
      </x:c>
      <x:c r="X5" s="15" t="inlineStr">
        <x:is>
          <x:t xml:space="preserve"/>
        </x:is>
      </x:c>
      <x:c r="Y5" s="15" t="inlineStr">
        <x:is>
          <x:t xml:space="preserve"/>
        </x:is>
      </x:c>
      <x:c r="Z5" s="15" t="inlineStr">
        <x:is>
          <x:t xml:space="preserve"/>
        </x:is>
      </x:c>
      <x:c r="AA5" s="15" t="inlineStr">
        <x:is>
          <x:t xml:space="preserve"/>
        </x:is>
      </x:c>
      <x:c r="AB5" s="15" t="inlineStr">
        <x:is>
          <x:t xml:space="preserve"/>
        </x:is>
      </x:c>
      <x:c r="AC5" s="15" t="inlineStr">
        <x:is>
          <x:t xml:space="preserve"/>
        </x:is>
      </x:c>
      <x:c r="AD5" s="15" t="inlineStr">
        <x:is>
          <x:t xml:space="preserve"/>
        </x:is>
      </x:c>
    </x:row>
    <x:row r="6" ht="18" customHeight="1">
      <x:c r="A6" s="15" t="inlineStr">
        <x:is>
          <x:t xml:space="preserve">IMP-56</x:t>
        </x:is>
      </x:c>
      <x:c r="B6" s="9" t="str">
        <x:f>INDEX(Master!$F$4:$F$141,MATCH($A6,Master!$A$4:$A$141,0))</x:f>
        <x:v>Security design review &amp; signoff</x:v>
      </x:c>
      <x:c r="C6" s="15" t="str">
        <x:f>INDEX(Master!$B$4:$B$141,MATCH($A6,Master!$A$4:$A$141,0))</x:f>
        <x:v>Implementation</x:v>
      </x:c>
      <x:c r="D6" s="9" t="str">
        <x:f>INDEX(Master!$C$4:$C$141,MATCH($A6,Master!$A$4:$A$141,0))</x:f>
        <x:v>Security</x:v>
      </x:c>
      <x:c r="E6" s="15" t="str">
        <x:f>INDEX(Master!$O$4:$O$141,MATCH($A6,Master!$A$4:$A$141,0))</x:f>
        <x:v>7</x:v>
      </x:c>
      <x:c r="F6" s="34" t="str">
        <x:f>INDEX(Master!$P$4:$P$141,MATCH($A6,Master!$A$4:$A$141,0))</x:f>
        <x:v>7</x:v>
      </x:c>
      <x:c r="G6" s="15" t="inlineStr">
        <x:is>
          <x:t xml:space="preserve"/>
        </x:is>
      </x:c>
      <x:c r="H6" s="15" t="inlineStr">
        <x:is>
          <x:t xml:space="preserve"/>
        </x:is>
      </x:c>
      <x:c r="I6" s="15" t="inlineStr">
        <x:is>
          <x:t xml:space="preserve"/>
        </x:is>
      </x:c>
      <x:c r="J6" s="15" t="inlineStr">
        <x:is>
          <x:t xml:space="preserve"/>
        </x:is>
      </x:c>
      <x:c r="K6" s="15" t="inlineStr">
        <x:is>
          <x:t xml:space="preserve"/>
        </x:is>
      </x:c>
      <x:c r="L6" s="15" t="inlineStr">
        <x:is>
          <x:t xml:space="preserve"/>
        </x:is>
      </x:c>
      <x:c r="M6" s="15" t="inlineStr">
        <x:is>
          <x:t xml:space="preserve"/>
        </x:is>
      </x:c>
      <x:c r="N6" s="15" t="inlineStr">
        <x:is>
          <x:t xml:space="preserve"/>
        </x:is>
      </x:c>
      <x:c r="O6" s="15" t="inlineStr">
        <x:is>
          <x:t xml:space="preserve"/>
        </x:is>
      </x:c>
      <x:c r="P6" s="15" t="inlineStr">
        <x:is>
          <x:t xml:space="preserve"/>
        </x:is>
      </x:c>
      <x:c r="Q6" s="15" t="inlineStr">
        <x:is>
          <x:t xml:space="preserve"/>
        </x:is>
      </x:c>
      <x:c r="R6" s="15" t="inlineStr">
        <x:is>
          <x:t xml:space="preserve"/>
        </x:is>
      </x:c>
      <x:c r="S6" s="15" t="inlineStr">
        <x:is>
          <x:t xml:space="preserve"/>
        </x:is>
      </x:c>
      <x:c r="T6" s="15" t="inlineStr">
        <x:is>
          <x:t xml:space="preserve"/>
        </x:is>
      </x:c>
      <x:c r="U6" s="15" t="inlineStr">
        <x:is>
          <x:t xml:space="preserve"/>
        </x:is>
      </x:c>
      <x:c r="V6" s="15" t="inlineStr">
        <x:is>
          <x:t xml:space="preserve"/>
        </x:is>
      </x:c>
      <x:c r="W6" s="15" t="inlineStr">
        <x:is>
          <x:t xml:space="preserve"/>
        </x:is>
      </x:c>
      <x:c r="X6" s="15" t="inlineStr">
        <x:is>
          <x:t xml:space="preserve"/>
        </x:is>
      </x:c>
      <x:c r="Y6" s="15" t="inlineStr">
        <x:is>
          <x:t xml:space="preserve"/>
        </x:is>
      </x:c>
      <x:c r="Z6" s="15" t="inlineStr">
        <x:is>
          <x:t xml:space="preserve"/>
        </x:is>
      </x:c>
      <x:c r="AA6" s="15" t="inlineStr">
        <x:is>
          <x:t xml:space="preserve"/>
        </x:is>
      </x:c>
      <x:c r="AB6" s="15" t="inlineStr">
        <x:is>
          <x:t xml:space="preserve"/>
        </x:is>
      </x:c>
      <x:c r="AC6" s="15" t="inlineStr">
        <x:is>
          <x:t xml:space="preserve"/>
        </x:is>
      </x:c>
      <x:c r="AD6" s="15" t="inlineStr">
        <x:is>
          <x:t xml:space="preserve"/>
        </x:is>
      </x:c>
    </x:row>
    <x:row r="7" ht="18" customHeight="1">
      <x:c r="A7" s="15" t="inlineStr">
        <x:is>
          <x:t xml:space="preserve">IMP-57</x:t>
        </x:is>
      </x:c>
      <x:c r="B7" s="9" t="str">
        <x:f>INDEX(Master!$F$4:$F$141,MATCH($A7,Master!$A$4:$A$141,0))</x:f>
        <x:v>MVP engine end-to-end demo (2 sources)</x:v>
      </x:c>
      <x:c r="C7" s="15" t="str">
        <x:f>INDEX(Master!$B$4:$B$141,MATCH($A7,Master!$A$4:$A$141,0))</x:f>
        <x:v>Implementation</x:v>
      </x:c>
      <x:c r="D7" s="9" t="str">
        <x:f>INDEX(Master!$C$4:$C$141,MATCH($A7,Master!$A$4:$A$141,0))</x:f>
        <x:v>MVP</x:v>
      </x:c>
      <x:c r="E7" s="15" t="str">
        <x:f>INDEX(Master!$O$4:$O$141,MATCH($A7,Master!$A$4:$A$141,0))</x:f>
        <x:v>8</x:v>
      </x:c>
      <x:c r="F7" s="34" t="str">
        <x:f>INDEX(Master!$P$4:$P$141,MATCH($A7,Master!$A$4:$A$141,0))</x:f>
        <x:v>8</x:v>
      </x:c>
      <x:c r="G7" s="15" t="inlineStr">
        <x:is>
          <x:t xml:space="preserve"/>
        </x:is>
      </x:c>
      <x:c r="H7" s="15" t="inlineStr">
        <x:is>
          <x:t xml:space="preserve"/>
        </x:is>
      </x:c>
      <x:c r="I7" s="15" t="inlineStr">
        <x:is>
          <x:t xml:space="preserve"/>
        </x:is>
      </x:c>
      <x:c r="J7" s="15" t="inlineStr">
        <x:is>
          <x:t xml:space="preserve"/>
        </x:is>
      </x:c>
      <x:c r="K7" s="15" t="inlineStr">
        <x:is>
          <x:t xml:space="preserve"/>
        </x:is>
      </x:c>
      <x:c r="L7" s="15" t="inlineStr">
        <x:is>
          <x:t xml:space="preserve"/>
        </x:is>
      </x:c>
      <x:c r="M7" s="15" t="inlineStr">
        <x:is>
          <x:t xml:space="preserve"/>
        </x:is>
      </x:c>
      <x:c r="N7" s="15" t="inlineStr">
        <x:is>
          <x:t xml:space="preserve"/>
        </x:is>
      </x:c>
      <x:c r="O7" s="15" t="inlineStr">
        <x:is>
          <x:t xml:space="preserve"/>
        </x:is>
      </x:c>
      <x:c r="P7" s="15" t="inlineStr">
        <x:is>
          <x:t xml:space="preserve"/>
        </x:is>
      </x:c>
      <x:c r="Q7" s="15" t="inlineStr">
        <x:is>
          <x:t xml:space="preserve"/>
        </x:is>
      </x:c>
      <x:c r="R7" s="15" t="inlineStr">
        <x:is>
          <x:t xml:space="preserve"/>
        </x:is>
      </x:c>
      <x:c r="S7" s="15" t="inlineStr">
        <x:is>
          <x:t xml:space="preserve"/>
        </x:is>
      </x:c>
      <x:c r="T7" s="15" t="inlineStr">
        <x:is>
          <x:t xml:space="preserve"/>
        </x:is>
      </x:c>
      <x:c r="U7" s="15" t="inlineStr">
        <x:is>
          <x:t xml:space="preserve"/>
        </x:is>
      </x:c>
      <x:c r="V7" s="15" t="inlineStr">
        <x:is>
          <x:t xml:space="preserve"/>
        </x:is>
      </x:c>
      <x:c r="W7" s="15" t="inlineStr">
        <x:is>
          <x:t xml:space="preserve"/>
        </x:is>
      </x:c>
      <x:c r="X7" s="15" t="inlineStr">
        <x:is>
          <x:t xml:space="preserve"/>
        </x:is>
      </x:c>
      <x:c r="Y7" s="15" t="inlineStr">
        <x:is>
          <x:t xml:space="preserve"/>
        </x:is>
      </x:c>
      <x:c r="Z7" s="15" t="inlineStr">
        <x:is>
          <x:t xml:space="preserve"/>
        </x:is>
      </x:c>
      <x:c r="AA7" s="15" t="inlineStr">
        <x:is>
          <x:t xml:space="preserve"/>
        </x:is>
      </x:c>
      <x:c r="AB7" s="15" t="inlineStr">
        <x:is>
          <x:t xml:space="preserve"/>
        </x:is>
      </x:c>
      <x:c r="AC7" s="15" t="inlineStr">
        <x:is>
          <x:t xml:space="preserve"/>
        </x:is>
      </x:c>
      <x:c r="AD7" s="15" t="inlineStr">
        <x:is>
          <x:t xml:space="preserve"/>
        </x:is>
      </x:c>
    </x:row>
    <x:row r="8" ht="18" customHeight="1">
      <x:c r="A8" s="15" t="inlineStr">
        <x:is>
          <x:t xml:space="preserve">IMP-39</x:t>
        </x:is>
      </x:c>
      <x:c r="B8" s="9">
        <x:f>INDEX(Master!$F$4:$F$141,MATCH($A8,Master!$A$4:$A$141,0))</x:f>
        <x:v>42</x:v>
      </x:c>
      <x:c r="C8" s="15">
        <x:f>INDEX(Master!$B$4:$B$141,MATCH($A8,Master!$A$4:$A$141,0))</x:f>
        <x:v>42</x:v>
      </x:c>
      <x:c r="D8" s="9">
        <x:f>INDEX(Master!$C$4:$C$141,MATCH($A8,Master!$A$4:$A$141,0))</x:f>
        <x:v>42</x:v>
      </x:c>
      <x:c r="E8" s="15">
        <x:f>INDEX(Master!$O$4:$O$141,MATCH($A8,Master!$A$4:$A$141,0))</x:f>
        <x:v>42</x:v>
      </x:c>
      <x:c r="F8" s="34">
        <x:f>INDEX(Master!$P$4:$P$141,MATCH($A8,Master!$A$4:$A$141,0))</x:f>
        <x:v>42</x:v>
      </x:c>
      <x:c r="G8" s="15" t="inlineStr">
        <x:is>
          <x:t xml:space="preserve"/>
        </x:is>
      </x:c>
      <x:c r="H8" s="15" t="inlineStr">
        <x:is>
          <x:t xml:space="preserve"/>
        </x:is>
      </x:c>
      <x:c r="I8" s="15" t="inlineStr">
        <x:is>
          <x:t xml:space="preserve"/>
        </x:is>
      </x:c>
      <x:c r="J8" s="15" t="inlineStr">
        <x:is>
          <x:t xml:space="preserve"/>
        </x:is>
      </x:c>
      <x:c r="K8" s="15" t="inlineStr">
        <x:is>
          <x:t xml:space="preserve"/>
        </x:is>
      </x:c>
      <x:c r="L8" s="15" t="inlineStr">
        <x:is>
          <x:t xml:space="preserve"/>
        </x:is>
      </x:c>
      <x:c r="M8" s="15" t="inlineStr">
        <x:is>
          <x:t xml:space="preserve"/>
        </x:is>
      </x:c>
      <x:c r="N8" s="15" t="inlineStr">
        <x:is>
          <x:t xml:space="preserve"/>
        </x:is>
      </x:c>
      <x:c r="O8" s="15" t="inlineStr">
        <x:is>
          <x:t xml:space="preserve"/>
        </x:is>
      </x:c>
      <x:c r="P8" s="15" t="inlineStr">
        <x:is>
          <x:t xml:space="preserve"/>
        </x:is>
      </x:c>
      <x:c r="Q8" s="15" t="inlineStr">
        <x:is>
          <x:t xml:space="preserve"/>
        </x:is>
      </x:c>
      <x:c r="R8" s="15" t="inlineStr">
        <x:is>
          <x:t xml:space="preserve"/>
        </x:is>
      </x:c>
      <x:c r="S8" s="15" t="inlineStr">
        <x:is>
          <x:t xml:space="preserve"/>
        </x:is>
      </x:c>
      <x:c r="T8" s="15" t="inlineStr">
        <x:is>
          <x:t xml:space="preserve"/>
        </x:is>
      </x:c>
      <x:c r="U8" s="15" t="inlineStr">
        <x:is>
          <x:t xml:space="preserve"/>
        </x:is>
      </x:c>
      <x:c r="V8" s="15" t="inlineStr">
        <x:is>
          <x:t xml:space="preserve"/>
        </x:is>
      </x:c>
      <x:c r="W8" s="15" t="inlineStr">
        <x:is>
          <x:t xml:space="preserve"/>
        </x:is>
      </x:c>
      <x:c r="X8" s="15" t="inlineStr">
        <x:is>
          <x:t xml:space="preserve"/>
        </x:is>
      </x:c>
      <x:c r="Y8" s="15" t="inlineStr">
        <x:is>
          <x:t xml:space="preserve"/>
        </x:is>
      </x:c>
      <x:c r="Z8" s="15" t="inlineStr">
        <x:is>
          <x:t xml:space="preserve"/>
        </x:is>
      </x:c>
      <x:c r="AA8" s="15" t="inlineStr">
        <x:is>
          <x:t xml:space="preserve"/>
        </x:is>
      </x:c>
      <x:c r="AB8" s="15" t="inlineStr">
        <x:is>
          <x:t xml:space="preserve"/>
        </x:is>
      </x:c>
      <x:c r="AC8" s="15" t="inlineStr">
        <x:is>
          <x:t xml:space="preserve"/>
        </x:is>
      </x:c>
      <x:c r="AD8" s="15" t="inlineStr">
        <x:is>
          <x:t xml:space="preserve"/>
        </x:is>
      </x:c>
    </x:row>
    <x:row r="9" ht="18" customHeight="1">
      <x:c r="A9" s="15" t="inlineStr">
        <x:is>
          <x:t xml:space="preserve">IMP-58</x:t>
        </x:is>
      </x:c>
      <x:c r="B9" s="9">
        <x:f>INDEX(Master!$F$4:$F$141,MATCH($A9,Master!$A$4:$A$141,0))</x:f>
        <x:v>42</x:v>
      </x:c>
      <x:c r="C9" s="15">
        <x:f>INDEX(Master!$B$4:$B$141,MATCH($A9,Master!$A$4:$A$141,0))</x:f>
        <x:v>42</x:v>
      </x:c>
      <x:c r="D9" s="9">
        <x:f>INDEX(Master!$C$4:$C$141,MATCH($A9,Master!$A$4:$A$141,0))</x:f>
        <x:v>42</x:v>
      </x:c>
      <x:c r="E9" s="15">
        <x:f>INDEX(Master!$O$4:$O$141,MATCH($A9,Master!$A$4:$A$141,0))</x:f>
        <x:v>42</x:v>
      </x:c>
      <x:c r="F9" s="34">
        <x:f>INDEX(Master!$P$4:$P$141,MATCH($A9,Master!$A$4:$A$141,0))</x:f>
        <x:v>42</x:v>
      </x:c>
      <x:c r="G9" s="15" t="inlineStr">
        <x:is>
          <x:t xml:space="preserve"/>
        </x:is>
      </x:c>
      <x:c r="H9" s="15" t="inlineStr">
        <x:is>
          <x:t xml:space="preserve"/>
        </x:is>
      </x:c>
      <x:c r="I9" s="15" t="inlineStr">
        <x:is>
          <x:t xml:space="preserve"/>
        </x:is>
      </x:c>
      <x:c r="J9" s="15" t="inlineStr">
        <x:is>
          <x:t xml:space="preserve"/>
        </x:is>
      </x:c>
      <x:c r="K9" s="15" t="inlineStr">
        <x:is>
          <x:t xml:space="preserve"/>
        </x:is>
      </x:c>
      <x:c r="L9" s="15" t="inlineStr">
        <x:is>
          <x:t xml:space="preserve"/>
        </x:is>
      </x:c>
      <x:c r="M9" s="15" t="inlineStr">
        <x:is>
          <x:t xml:space="preserve"/>
        </x:is>
      </x:c>
      <x:c r="N9" s="15" t="inlineStr">
        <x:is>
          <x:t xml:space="preserve"/>
        </x:is>
      </x:c>
      <x:c r="O9" s="15" t="inlineStr">
        <x:is>
          <x:t xml:space="preserve"/>
        </x:is>
      </x:c>
      <x:c r="P9" s="15" t="inlineStr">
        <x:is>
          <x:t xml:space="preserve"/>
        </x:is>
      </x:c>
      <x:c r="Q9" s="15" t="inlineStr">
        <x:is>
          <x:t xml:space="preserve"/>
        </x:is>
      </x:c>
      <x:c r="R9" s="15" t="inlineStr">
        <x:is>
          <x:t xml:space="preserve"/>
        </x:is>
      </x:c>
      <x:c r="S9" s="15" t="inlineStr">
        <x:is>
          <x:t xml:space="preserve"/>
        </x:is>
      </x:c>
      <x:c r="T9" s="15" t="inlineStr">
        <x:is>
          <x:t xml:space="preserve"/>
        </x:is>
      </x:c>
      <x:c r="U9" s="15" t="inlineStr">
        <x:is>
          <x:t xml:space="preserve"/>
        </x:is>
      </x:c>
      <x:c r="V9" s="15" t="inlineStr">
        <x:is>
          <x:t xml:space="preserve"/>
        </x:is>
      </x:c>
      <x:c r="W9" s="15" t="inlineStr">
        <x:is>
          <x:t xml:space="preserve"/>
        </x:is>
      </x:c>
      <x:c r="X9" s="15" t="inlineStr">
        <x:is>
          <x:t xml:space="preserve"/>
        </x:is>
      </x:c>
      <x:c r="Y9" s="15" t="inlineStr">
        <x:is>
          <x:t xml:space="preserve"/>
        </x:is>
      </x:c>
      <x:c r="Z9" s="15" t="inlineStr">
        <x:is>
          <x:t xml:space="preserve"/>
        </x:is>
      </x:c>
      <x:c r="AA9" s="15" t="inlineStr">
        <x:is>
          <x:t xml:space="preserve"/>
        </x:is>
      </x:c>
      <x:c r="AB9" s="15" t="inlineStr">
        <x:is>
          <x:t xml:space="preserve"/>
        </x:is>
      </x:c>
      <x:c r="AC9" s="15" t="inlineStr">
        <x:is>
          <x:t xml:space="preserve"/>
        </x:is>
      </x:c>
      <x:c r="AD9" s="15" t="inlineStr">
        <x:is>
          <x:t xml:space="preserve"/>
        </x:is>
      </x:c>
    </x:row>
    <x:row r="10" ht="18" customHeight="1">
      <x:c r="A10" s="15" t="inlineStr">
        <x:is>
          <x:t xml:space="preserve">IMP-41</x:t>
        </x:is>
      </x:c>
      <x:c r="B10" s="9">
        <x:f>INDEX(Master!$F$4:$F$141,MATCH($A10,Master!$A$4:$A$141,0))</x:f>
        <x:v>42</x:v>
      </x:c>
      <x:c r="C10" s="15">
        <x:f>INDEX(Master!$B$4:$B$141,MATCH($A10,Master!$A$4:$A$141,0))</x:f>
        <x:v>42</x:v>
      </x:c>
      <x:c r="D10" s="9">
        <x:f>INDEX(Master!$C$4:$C$141,MATCH($A10,Master!$A$4:$A$141,0))</x:f>
        <x:v>42</x:v>
      </x:c>
      <x:c r="E10" s="15">
        <x:f>INDEX(Master!$O$4:$O$141,MATCH($A10,Master!$A$4:$A$141,0))</x:f>
        <x:v>42</x:v>
      </x:c>
      <x:c r="F10" s="34">
        <x:f>INDEX(Master!$P$4:$P$141,MATCH($A10,Master!$A$4:$A$141,0))</x:f>
        <x:v>42</x:v>
      </x:c>
      <x:c r="G10" s="15" t="inlineStr">
        <x:is>
          <x:t xml:space="preserve"/>
        </x:is>
      </x:c>
      <x:c r="H10" s="15" t="inlineStr">
        <x:is>
          <x:t xml:space="preserve"/>
        </x:is>
      </x:c>
      <x:c r="I10" s="15" t="inlineStr">
        <x:is>
          <x:t xml:space="preserve"/>
        </x:is>
      </x:c>
      <x:c r="J10" s="15" t="inlineStr">
        <x:is>
          <x:t xml:space="preserve"/>
        </x:is>
      </x:c>
      <x:c r="K10" s="15" t="inlineStr">
        <x:is>
          <x:t xml:space="preserve"/>
        </x:is>
      </x:c>
      <x:c r="L10" s="15" t="inlineStr">
        <x:is>
          <x:t xml:space="preserve"/>
        </x:is>
      </x:c>
      <x:c r="M10" s="15" t="inlineStr">
        <x:is>
          <x:t xml:space="preserve"/>
        </x:is>
      </x:c>
      <x:c r="N10" s="15" t="inlineStr">
        <x:is>
          <x:t xml:space="preserve"/>
        </x:is>
      </x:c>
      <x:c r="O10" s="15" t="inlineStr">
        <x:is>
          <x:t xml:space="preserve"/>
        </x:is>
      </x:c>
      <x:c r="P10" s="15" t="inlineStr">
        <x:is>
          <x:t xml:space="preserve"/>
        </x:is>
      </x:c>
      <x:c r="Q10" s="15" t="inlineStr">
        <x:is>
          <x:t xml:space="preserve"/>
        </x:is>
      </x:c>
      <x:c r="R10" s="15" t="inlineStr">
        <x:is>
          <x:t xml:space="preserve"/>
        </x:is>
      </x:c>
      <x:c r="S10" s="15" t="inlineStr">
        <x:is>
          <x:t xml:space="preserve"/>
        </x:is>
      </x:c>
      <x:c r="T10" s="15" t="inlineStr">
        <x:is>
          <x:t xml:space="preserve"/>
        </x:is>
      </x:c>
      <x:c r="U10" s="15" t="inlineStr">
        <x:is>
          <x:t xml:space="preserve"/>
        </x:is>
      </x:c>
      <x:c r="V10" s="15" t="inlineStr">
        <x:is>
          <x:t xml:space="preserve"/>
        </x:is>
      </x:c>
      <x:c r="W10" s="15" t="inlineStr">
        <x:is>
          <x:t xml:space="preserve"/>
        </x:is>
      </x:c>
      <x:c r="X10" s="15" t="inlineStr">
        <x:is>
          <x:t xml:space="preserve"/>
        </x:is>
      </x:c>
      <x:c r="Y10" s="15" t="inlineStr">
        <x:is>
          <x:t xml:space="preserve"/>
        </x:is>
      </x:c>
      <x:c r="Z10" s="15" t="inlineStr">
        <x:is>
          <x:t xml:space="preserve"/>
        </x:is>
      </x:c>
      <x:c r="AA10" s="15" t="inlineStr">
        <x:is>
          <x:t xml:space="preserve"/>
        </x:is>
      </x:c>
      <x:c r="AB10" s="15" t="inlineStr">
        <x:is>
          <x:t xml:space="preserve"/>
        </x:is>
      </x:c>
      <x:c r="AC10" s="15" t="inlineStr">
        <x:is>
          <x:t xml:space="preserve"/>
        </x:is>
      </x:c>
      <x:c r="AD10" s="15" t="inlineStr">
        <x:is>
          <x:t xml:space="preserve"/>
        </x:is>
      </x:c>
    </x:row>
    <x:row r="11" ht="18" customHeight="1">
      <x:c r="A11" s="15" t="inlineStr">
        <x:is>
          <x:t xml:space="preserve">IMP-43</x:t>
        </x:is>
      </x:c>
      <x:c r="B11" s="9">
        <x:f>INDEX(Master!$F$4:$F$141,MATCH($A11,Master!$A$4:$A$141,0))</x:f>
        <x:v>42</x:v>
      </x:c>
      <x:c r="C11" s="15">
        <x:f>INDEX(Master!$B$4:$B$141,MATCH($A11,Master!$A$4:$A$141,0))</x:f>
        <x:v>42</x:v>
      </x:c>
      <x:c r="D11" s="9">
        <x:f>INDEX(Master!$C$4:$C$141,MATCH($A11,Master!$A$4:$A$141,0))</x:f>
        <x:v>42</x:v>
      </x:c>
      <x:c r="E11" s="15">
        <x:f>INDEX(Master!$O$4:$O$141,MATCH($A11,Master!$A$4:$A$141,0))</x:f>
        <x:v>42</x:v>
      </x:c>
      <x:c r="F11" s="34">
        <x:f>INDEX(Master!$P$4:$P$141,MATCH($A11,Master!$A$4:$A$141,0))</x:f>
        <x:v>42</x:v>
      </x:c>
      <x:c r="G11" s="15" t="inlineStr">
        <x:is>
          <x:t xml:space="preserve"/>
        </x:is>
      </x:c>
      <x:c r="H11" s="15" t="inlineStr">
        <x:is>
          <x:t xml:space="preserve"/>
        </x:is>
      </x:c>
      <x:c r="I11" s="15" t="inlineStr">
        <x:is>
          <x:t xml:space="preserve"/>
        </x:is>
      </x:c>
      <x:c r="J11" s="15" t="inlineStr">
        <x:is>
          <x:t xml:space="preserve"/>
        </x:is>
      </x:c>
      <x:c r="K11" s="15" t="inlineStr">
        <x:is>
          <x:t xml:space="preserve"/>
        </x:is>
      </x:c>
      <x:c r="L11" s="15" t="inlineStr">
        <x:is>
          <x:t xml:space="preserve"/>
        </x:is>
      </x:c>
      <x:c r="M11" s="15" t="inlineStr">
        <x:is>
          <x:t xml:space="preserve"/>
        </x:is>
      </x:c>
      <x:c r="N11" s="15" t="inlineStr">
        <x:is>
          <x:t xml:space="preserve"/>
        </x:is>
      </x:c>
      <x:c r="O11" s="15" t="inlineStr">
        <x:is>
          <x:t xml:space="preserve"/>
        </x:is>
      </x:c>
      <x:c r="P11" s="15" t="inlineStr">
        <x:is>
          <x:t xml:space="preserve"/>
        </x:is>
      </x:c>
      <x:c r="Q11" s="15" t="inlineStr">
        <x:is>
          <x:t xml:space="preserve"/>
        </x:is>
      </x:c>
      <x:c r="R11" s="15" t="inlineStr">
        <x:is>
          <x:t xml:space="preserve"/>
        </x:is>
      </x:c>
      <x:c r="S11" s="15" t="inlineStr">
        <x:is>
          <x:t xml:space="preserve"/>
        </x:is>
      </x:c>
      <x:c r="T11" s="15" t="inlineStr">
        <x:is>
          <x:t xml:space="preserve"/>
        </x:is>
      </x:c>
      <x:c r="U11" s="15" t="inlineStr">
        <x:is>
          <x:t xml:space="preserve"/>
        </x:is>
      </x:c>
      <x:c r="V11" s="15" t="inlineStr">
        <x:is>
          <x:t xml:space="preserve"/>
        </x:is>
      </x:c>
      <x:c r="W11" s="15" t="inlineStr">
        <x:is>
          <x:t xml:space="preserve"/>
        </x:is>
      </x:c>
      <x:c r="X11" s="15" t="inlineStr">
        <x:is>
          <x:t xml:space="preserve"/>
        </x:is>
      </x:c>
      <x:c r="Y11" s="15" t="inlineStr">
        <x:is>
          <x:t xml:space="preserve"/>
        </x:is>
      </x:c>
      <x:c r="Z11" s="15" t="inlineStr">
        <x:is>
          <x:t xml:space="preserve"/>
        </x:is>
      </x:c>
      <x:c r="AA11" s="15" t="inlineStr">
        <x:is>
          <x:t xml:space="preserve"/>
        </x:is>
      </x:c>
      <x:c r="AB11" s="15" t="inlineStr">
        <x:is>
          <x:t xml:space="preserve"/>
        </x:is>
      </x:c>
      <x:c r="AC11" s="15" t="inlineStr">
        <x:is>
          <x:t xml:space="preserve"/>
        </x:is>
      </x:c>
      <x:c r="AD11" s="15" t="inlineStr">
        <x:is>
          <x:t xml:space="preserve"/>
        </x:is>
      </x:c>
    </x:row>
    <x:row r="12" ht="18" customHeight="1">
      <x:c r="A12" s="15" t="inlineStr">
        <x:is>
          <x:t xml:space="preserve">IMP-03</x:t>
        </x:is>
      </x:c>
      <x:c r="B12" s="9" t="str">
        <x:f>INDEX(Master!$F$4:$F$141,MATCH($A12,Master!$A$4:$A$141,0))</x:f>
        <x:v>Implement registry Delta tables (sources/endpoints/state/runs/errors)</x:v>
      </x:c>
      <x:c r="C12" s="15" t="str">
        <x:f>INDEX(Master!$B$4:$B$141,MATCH($A12,Master!$A$4:$A$141,0))</x:f>
        <x:v>Implementation</x:v>
      </x:c>
      <x:c r="D12" s="9" t="str">
        <x:f>INDEX(Master!$C$4:$C$141,MATCH($A12,Master!$A$4:$A$141,0))</x:f>
        <x:v>Control Plane</x:v>
      </x:c>
      <x:c r="E12" s="15" t="str">
        <x:f>INDEX(Master!$O$4:$O$141,MATCH($A12,Master!$A$4:$A$141,0))</x:f>
        <x:v>3</x:v>
      </x:c>
      <x:c r="F12" s="34" t="str">
        <x:f>INDEX(Master!$P$4:$P$141,MATCH($A12,Master!$A$4:$A$141,0))</x:f>
        <x:v>4</x:v>
      </x:c>
      <x:c r="G12" s="15" t="inlineStr">
        <x:is>
          <x:t xml:space="preserve"/>
        </x:is>
      </x:c>
      <x:c r="H12" s="15" t="inlineStr">
        <x:is>
          <x:t xml:space="preserve"/>
        </x:is>
      </x:c>
      <x:c r="I12" s="15" t="inlineStr">
        <x:is>
          <x:t xml:space="preserve"/>
        </x:is>
      </x:c>
      <x:c r="J12" s="15" t="inlineStr">
        <x:is>
          <x:t xml:space="preserve"/>
        </x:is>
      </x:c>
      <x:c r="K12" s="15" t="inlineStr">
        <x:is>
          <x:t xml:space="preserve"/>
        </x:is>
      </x:c>
      <x:c r="L12" s="15" t="inlineStr">
        <x:is>
          <x:t xml:space="preserve"/>
        </x:is>
      </x:c>
      <x:c r="M12" s="15" t="inlineStr">
        <x:is>
          <x:t xml:space="preserve"/>
        </x:is>
      </x:c>
      <x:c r="N12" s="15" t="inlineStr">
        <x:is>
          <x:t xml:space="preserve"/>
        </x:is>
      </x:c>
      <x:c r="O12" s="15" t="inlineStr">
        <x:is>
          <x:t xml:space="preserve"/>
        </x:is>
      </x:c>
      <x:c r="P12" s="15" t="inlineStr">
        <x:is>
          <x:t xml:space="preserve"/>
        </x:is>
      </x:c>
      <x:c r="Q12" s="15" t="inlineStr">
        <x:is>
          <x:t xml:space="preserve"/>
        </x:is>
      </x:c>
      <x:c r="R12" s="15" t="inlineStr">
        <x:is>
          <x:t xml:space="preserve"/>
        </x:is>
      </x:c>
      <x:c r="S12" s="15" t="inlineStr">
        <x:is>
          <x:t xml:space="preserve"/>
        </x:is>
      </x:c>
      <x:c r="T12" s="15" t="inlineStr">
        <x:is>
          <x:t xml:space="preserve"/>
        </x:is>
      </x:c>
      <x:c r="U12" s="15" t="inlineStr">
        <x:is>
          <x:t xml:space="preserve"/>
        </x:is>
      </x:c>
      <x:c r="V12" s="15" t="inlineStr">
        <x:is>
          <x:t xml:space="preserve"/>
        </x:is>
      </x:c>
      <x:c r="W12" s="15" t="inlineStr">
        <x:is>
          <x:t xml:space="preserve"/>
        </x:is>
      </x:c>
      <x:c r="X12" s="15" t="inlineStr">
        <x:is>
          <x:t xml:space="preserve"/>
        </x:is>
      </x:c>
      <x:c r="Y12" s="15" t="inlineStr">
        <x:is>
          <x:t xml:space="preserve"/>
        </x:is>
      </x:c>
      <x:c r="Z12" s="15" t="inlineStr">
        <x:is>
          <x:t xml:space="preserve"/>
        </x:is>
      </x:c>
      <x:c r="AA12" s="15" t="inlineStr">
        <x:is>
          <x:t xml:space="preserve"/>
        </x:is>
      </x:c>
      <x:c r="AB12" s="15" t="inlineStr">
        <x:is>
          <x:t xml:space="preserve"/>
        </x:is>
      </x:c>
      <x:c r="AC12" s="15" t="inlineStr">
        <x:is>
          <x:t xml:space="preserve"/>
        </x:is>
      </x:c>
      <x:c r="AD12" s="15" t="inlineStr">
        <x:is>
          <x:t xml:space="preserve"/>
        </x:is>
      </x:c>
    </x:row>
    <x:row r="13" ht="18" customHeight="1">
      <x:c r="A13" s="15" t="inlineStr">
        <x:is>
          <x:t xml:space="preserve">IMP-05</x:t>
        </x:is>
      </x:c>
      <x:c r="B13" s="9" t="str">
        <x:f>INDEX(Master!$F$4:$F$141,MATCH($A13,Master!$A$4:$A$141,0))</x:f>
        <x:v>Build connector SDK base package</x:v>
      </x:c>
      <x:c r="C13" s="15" t="str">
        <x:f>INDEX(Master!$B$4:$B$141,MATCH($A13,Master!$A$4:$A$141,0))</x:f>
        <x:v>Implementation</x:v>
      </x:c>
      <x:c r="D13" s="9" t="str">
        <x:f>INDEX(Master!$C$4:$C$141,MATCH($A13,Master!$A$4:$A$141,0))</x:f>
        <x:v>Connector SDK</x:v>
      </x:c>
      <x:c r="E13" s="15" t="str">
        <x:f>INDEX(Master!$O$4:$O$141,MATCH($A13,Master!$A$4:$A$141,0))</x:f>
        <x:v>3</x:v>
      </x:c>
      <x:c r="F13" s="34" t="str">
        <x:f>INDEX(Master!$P$4:$P$141,MATCH($A13,Master!$A$4:$A$141,0))</x:f>
        <x:v>4</x:v>
      </x:c>
      <x:c r="G13" s="15" t="inlineStr">
        <x:is>
          <x:t xml:space="preserve"/>
        </x:is>
      </x:c>
      <x:c r="H13" s="15" t="inlineStr">
        <x:is>
          <x:t xml:space="preserve"/>
        </x:is>
      </x:c>
      <x:c r="I13" s="15" t="inlineStr">
        <x:is>
          <x:t xml:space="preserve"/>
        </x:is>
      </x:c>
      <x:c r="J13" s="15" t="inlineStr">
        <x:is>
          <x:t xml:space="preserve"/>
        </x:is>
      </x:c>
      <x:c r="K13" s="15" t="inlineStr">
        <x:is>
          <x:t xml:space="preserve"/>
        </x:is>
      </x:c>
      <x:c r="L13" s="15" t="inlineStr">
        <x:is>
          <x:t xml:space="preserve"/>
        </x:is>
      </x:c>
      <x:c r="M13" s="15" t="inlineStr">
        <x:is>
          <x:t xml:space="preserve"/>
        </x:is>
      </x:c>
      <x:c r="N13" s="15" t="inlineStr">
        <x:is>
          <x:t xml:space="preserve"/>
        </x:is>
      </x:c>
      <x:c r="O13" s="15" t="inlineStr">
        <x:is>
          <x:t xml:space="preserve"/>
        </x:is>
      </x:c>
      <x:c r="P13" s="15" t="inlineStr">
        <x:is>
          <x:t xml:space="preserve"/>
        </x:is>
      </x:c>
      <x:c r="Q13" s="15" t="inlineStr">
        <x:is>
          <x:t xml:space="preserve"/>
        </x:is>
      </x:c>
      <x:c r="R13" s="15" t="inlineStr">
        <x:is>
          <x:t xml:space="preserve"/>
        </x:is>
      </x:c>
      <x:c r="S13" s="15" t="inlineStr">
        <x:is>
          <x:t xml:space="preserve"/>
        </x:is>
      </x:c>
      <x:c r="T13" s="15" t="inlineStr">
        <x:is>
          <x:t xml:space="preserve"/>
        </x:is>
      </x:c>
      <x:c r="U13" s="15" t="inlineStr">
        <x:is>
          <x:t xml:space="preserve"/>
        </x:is>
      </x:c>
      <x:c r="V13" s="15" t="inlineStr">
        <x:is>
          <x:t xml:space="preserve"/>
        </x:is>
      </x:c>
      <x:c r="W13" s="15" t="inlineStr">
        <x:is>
          <x:t xml:space="preserve"/>
        </x:is>
      </x:c>
      <x:c r="X13" s="15" t="inlineStr">
        <x:is>
          <x:t xml:space="preserve"/>
        </x:is>
      </x:c>
      <x:c r="Y13" s="15" t="inlineStr">
        <x:is>
          <x:t xml:space="preserve"/>
        </x:is>
      </x:c>
      <x:c r="Z13" s="15" t="inlineStr">
        <x:is>
          <x:t xml:space="preserve"/>
        </x:is>
      </x:c>
      <x:c r="AA13" s="15" t="inlineStr">
        <x:is>
          <x:t xml:space="preserve"/>
        </x:is>
      </x:c>
      <x:c r="AB13" s="15" t="inlineStr">
        <x:is>
          <x:t xml:space="preserve"/>
        </x:is>
      </x:c>
      <x:c r="AC13" s="15" t="inlineStr">
        <x:is>
          <x:t xml:space="preserve"/>
        </x:is>
      </x:c>
      <x:c r="AD13" s="15" t="inlineStr">
        <x:is>
          <x:t xml:space="preserve"/>
        </x:is>
      </x:c>
    </x:row>
    <x:row r="14" ht="18" customHeight="1">
      <x:c r="A14" s="15" t="inlineStr">
        <x:is>
          <x:t xml:space="preserve">IMP-07</x:t>
        </x:is>
      </x:c>
      <x:c r="B14" s="9" t="str">
        <x:f>INDEX(Master!$F$4:$F$141,MATCH($A14,Master!$A$4:$A$141,0))</x:f>
        <x:v>Implement connector template: OAuth2 client credentials</x:v>
      </x:c>
      <x:c r="C14" s="15" t="str">
        <x:f>INDEX(Master!$B$4:$B$141,MATCH($A14,Master!$A$4:$A$141,0))</x:f>
        <x:v>Implementation</x:v>
      </x:c>
      <x:c r="D14" s="9" t="str">
        <x:f>INDEX(Master!$C$4:$C$141,MATCH($A14,Master!$A$4:$A$141,0))</x:f>
        <x:v>Connector SDK</x:v>
      </x:c>
      <x:c r="E14" s="15" t="str">
        <x:f>INDEX(Master!$O$4:$O$141,MATCH($A14,Master!$A$4:$A$141,0))</x:f>
        <x:v>4</x:v>
      </x:c>
      <x:c r="F14" s="34" t="str">
        <x:f>INDEX(Master!$P$4:$P$141,MATCH($A14,Master!$A$4:$A$141,0))</x:f>
        <x:v>4</x:v>
      </x:c>
      <x:c r="G14" s="15" t="inlineStr">
        <x:is>
          <x:t xml:space="preserve"/>
        </x:is>
      </x:c>
      <x:c r="H14" s="15" t="inlineStr">
        <x:is>
          <x:t xml:space="preserve"/>
        </x:is>
      </x:c>
      <x:c r="I14" s="15" t="inlineStr">
        <x:is>
          <x:t xml:space="preserve"/>
        </x:is>
      </x:c>
      <x:c r="J14" s="15" t="inlineStr">
        <x:is>
          <x:t xml:space="preserve"/>
        </x:is>
      </x:c>
      <x:c r="K14" s="15" t="inlineStr">
        <x:is>
          <x:t xml:space="preserve"/>
        </x:is>
      </x:c>
      <x:c r="L14" s="15" t="inlineStr">
        <x:is>
          <x:t xml:space="preserve"/>
        </x:is>
      </x:c>
      <x:c r="M14" s="15" t="inlineStr">
        <x:is>
          <x:t xml:space="preserve"/>
        </x:is>
      </x:c>
      <x:c r="N14" s="15" t="inlineStr">
        <x:is>
          <x:t xml:space="preserve"/>
        </x:is>
      </x:c>
      <x:c r="O14" s="15" t="inlineStr">
        <x:is>
          <x:t xml:space="preserve"/>
        </x:is>
      </x:c>
      <x:c r="P14" s="15" t="inlineStr">
        <x:is>
          <x:t xml:space="preserve"/>
        </x:is>
      </x:c>
      <x:c r="Q14" s="15" t="inlineStr">
        <x:is>
          <x:t xml:space="preserve"/>
        </x:is>
      </x:c>
      <x:c r="R14" s="15" t="inlineStr">
        <x:is>
          <x:t xml:space="preserve"/>
        </x:is>
      </x:c>
      <x:c r="S14" s="15" t="inlineStr">
        <x:is>
          <x:t xml:space="preserve"/>
        </x:is>
      </x:c>
      <x:c r="T14" s="15" t="inlineStr">
        <x:is>
          <x:t xml:space="preserve"/>
        </x:is>
      </x:c>
      <x:c r="U14" s="15" t="inlineStr">
        <x:is>
          <x:t xml:space="preserve"/>
        </x:is>
      </x:c>
      <x:c r="V14" s="15" t="inlineStr">
        <x:is>
          <x:t xml:space="preserve"/>
        </x:is>
      </x:c>
      <x:c r="W14" s="15" t="inlineStr">
        <x:is>
          <x:t xml:space="preserve"/>
        </x:is>
      </x:c>
      <x:c r="X14" s="15" t="inlineStr">
        <x:is>
          <x:t xml:space="preserve"/>
        </x:is>
      </x:c>
      <x:c r="Y14" s="15" t="inlineStr">
        <x:is>
          <x:t xml:space="preserve"/>
        </x:is>
      </x:c>
      <x:c r="Z14" s="15" t="inlineStr">
        <x:is>
          <x:t xml:space="preserve"/>
        </x:is>
      </x:c>
      <x:c r="AA14" s="15" t="inlineStr">
        <x:is>
          <x:t xml:space="preserve"/>
        </x:is>
      </x:c>
      <x:c r="AB14" s="15" t="inlineStr">
        <x:is>
          <x:t xml:space="preserve"/>
        </x:is>
      </x:c>
      <x:c r="AC14" s="15" t="inlineStr">
        <x:is>
          <x:t xml:space="preserve"/>
        </x:is>
      </x:c>
      <x:c r="AD14" s="15" t="inlineStr">
        <x:is>
          <x:t xml:space="preserve"/>
        </x:is>
      </x:c>
    </x:row>
    <x:row r="15" ht="18" customHeight="1">
      <x:c r="A15" s="15" t="inlineStr">
        <x:is>
          <x:t xml:space="preserve">IMP-08</x:t>
        </x:is>
      </x:c>
      <x:c r="B15" s="9" t="str">
        <x:f>INDEX(Master!$F$4:$F$141,MATCH($A15,Master!$A$4:$A$141,0))</x:f>
        <x:v>Implement HTTP client with retries/backoff/jitter</x:v>
      </x:c>
      <x:c r="C15" s="15" t="str">
        <x:f>INDEX(Master!$B$4:$B$141,MATCH($A15,Master!$A$4:$A$141,0))</x:f>
        <x:v>Implementation</x:v>
      </x:c>
      <x:c r="D15" s="9" t="str">
        <x:f>INDEX(Master!$C$4:$C$141,MATCH($A15,Master!$A$4:$A$141,0))</x:f>
        <x:v>Runtime</x:v>
      </x:c>
      <x:c r="E15" s="15" t="str">
        <x:f>INDEX(Master!$O$4:$O$141,MATCH($A15,Master!$A$4:$A$141,0))</x:f>
        <x:v>4</x:v>
      </x:c>
      <x:c r="F15" s="34" t="str">
        <x:f>INDEX(Master!$P$4:$P$141,MATCH($A15,Master!$A$4:$A$141,0))</x:f>
        <x:v>4</x:v>
      </x:c>
      <x:c r="G15" s="15" t="inlineStr">
        <x:is>
          <x:t xml:space="preserve"/>
        </x:is>
      </x:c>
      <x:c r="H15" s="15" t="inlineStr">
        <x:is>
          <x:t xml:space="preserve"/>
        </x:is>
      </x:c>
      <x:c r="I15" s="15" t="inlineStr">
        <x:is>
          <x:t xml:space="preserve"/>
        </x:is>
      </x:c>
      <x:c r="J15" s="15" t="inlineStr">
        <x:is>
          <x:t xml:space="preserve"/>
        </x:is>
      </x:c>
      <x:c r="K15" s="15" t="inlineStr">
        <x:is>
          <x:t xml:space="preserve"/>
        </x:is>
      </x:c>
      <x:c r="L15" s="15" t="inlineStr">
        <x:is>
          <x:t xml:space="preserve"/>
        </x:is>
      </x:c>
      <x:c r="M15" s="15" t="inlineStr">
        <x:is>
          <x:t xml:space="preserve"/>
        </x:is>
      </x:c>
      <x:c r="N15" s="15" t="inlineStr">
        <x:is>
          <x:t xml:space="preserve"/>
        </x:is>
      </x:c>
      <x:c r="O15" s="15" t="inlineStr">
        <x:is>
          <x:t xml:space="preserve"/>
        </x:is>
      </x:c>
      <x:c r="P15" s="15" t="inlineStr">
        <x:is>
          <x:t xml:space="preserve"/>
        </x:is>
      </x:c>
      <x:c r="Q15" s="15" t="inlineStr">
        <x:is>
          <x:t xml:space="preserve"/>
        </x:is>
      </x:c>
      <x:c r="R15" s="15" t="inlineStr">
        <x:is>
          <x:t xml:space="preserve"/>
        </x:is>
      </x:c>
      <x:c r="S15" s="15" t="inlineStr">
        <x:is>
          <x:t xml:space="preserve"/>
        </x:is>
      </x:c>
      <x:c r="T15" s="15" t="inlineStr">
        <x:is>
          <x:t xml:space="preserve"/>
        </x:is>
      </x:c>
      <x:c r="U15" s="15" t="inlineStr">
        <x:is>
          <x:t xml:space="preserve"/>
        </x:is>
      </x:c>
      <x:c r="V15" s="15" t="inlineStr">
        <x:is>
          <x:t xml:space="preserve"/>
        </x:is>
      </x:c>
      <x:c r="W15" s="15" t="inlineStr">
        <x:is>
          <x:t xml:space="preserve"/>
        </x:is>
      </x:c>
      <x:c r="X15" s="15" t="inlineStr">
        <x:is>
          <x:t xml:space="preserve"/>
        </x:is>
      </x:c>
      <x:c r="Y15" s="15" t="inlineStr">
        <x:is>
          <x:t xml:space="preserve"/>
        </x:is>
      </x:c>
      <x:c r="Z15" s="15" t="inlineStr">
        <x:is>
          <x:t xml:space="preserve"/>
        </x:is>
      </x:c>
      <x:c r="AA15" s="15" t="inlineStr">
        <x:is>
          <x:t xml:space="preserve"/>
        </x:is>
      </x:c>
      <x:c r="AB15" s="15" t="inlineStr">
        <x:is>
          <x:t xml:space="preserve"/>
        </x:is>
      </x:c>
      <x:c r="AC15" s="15" t="inlineStr">
        <x:is>
          <x:t xml:space="preserve"/>
        </x:is>
      </x:c>
      <x:c r="AD15" s="15" t="inlineStr">
        <x:is>
          <x:t xml:space="preserve"/>
        </x:is>
      </x:c>
    </x:row>
    <x:row r="16" ht="18" customHeight="1">
      <x:c r="A16" s="15" t="inlineStr">
        <x:is>
          <x:t xml:space="preserve">IMP-13</x:t>
        </x:is>
      </x:c>
      <x:c r="B16" s="9" t="str">
        <x:f>INDEX(Master!$F$4:$F$141,MATCH($A16,Master!$A$4:$A$141,0))</x:f>
        <x:v>Create Bronze databases/schemas and naming conventions</x:v>
      </x:c>
      <x:c r="C16" s="15" t="str">
        <x:f>INDEX(Master!$B$4:$B$141,MATCH($A16,Master!$A$4:$A$141,0))</x:f>
        <x:v>Implementation</x:v>
      </x:c>
      <x:c r="D16" s="9" t="str">
        <x:f>INDEX(Master!$C$4:$C$141,MATCH($A16,Master!$A$4:$A$141,0))</x:f>
        <x:v>Bronze</x:v>
      </x:c>
      <x:c r="E16" s="15" t="str">
        <x:f>INDEX(Master!$O$4:$O$141,MATCH($A16,Master!$A$4:$A$141,0))</x:f>
        <x:v>4</x:v>
      </x:c>
      <x:c r="F16" s="34" t="str">
        <x:f>INDEX(Master!$P$4:$P$141,MATCH($A16,Master!$A$4:$A$141,0))</x:f>
        <x:v>4</x:v>
      </x:c>
      <x:c r="G16" s="15" t="inlineStr">
        <x:is>
          <x:t xml:space="preserve"/>
        </x:is>
      </x:c>
      <x:c r="H16" s="15" t="inlineStr">
        <x:is>
          <x:t xml:space="preserve"/>
        </x:is>
      </x:c>
      <x:c r="I16" s="15" t="inlineStr">
        <x:is>
          <x:t xml:space="preserve"/>
        </x:is>
      </x:c>
      <x:c r="J16" s="15" t="inlineStr">
        <x:is>
          <x:t xml:space="preserve"/>
        </x:is>
      </x:c>
      <x:c r="K16" s="15" t="inlineStr">
        <x:is>
          <x:t xml:space="preserve"/>
        </x:is>
      </x:c>
      <x:c r="L16" s="15" t="inlineStr">
        <x:is>
          <x:t xml:space="preserve"/>
        </x:is>
      </x:c>
      <x:c r="M16" s="15" t="inlineStr">
        <x:is>
          <x:t xml:space="preserve"/>
        </x:is>
      </x:c>
      <x:c r="N16" s="15" t="inlineStr">
        <x:is>
          <x:t xml:space="preserve"/>
        </x:is>
      </x:c>
      <x:c r="O16" s="15" t="inlineStr">
        <x:is>
          <x:t xml:space="preserve"/>
        </x:is>
      </x:c>
      <x:c r="P16" s="15" t="inlineStr">
        <x:is>
          <x:t xml:space="preserve"/>
        </x:is>
      </x:c>
      <x:c r="Q16" s="15" t="inlineStr">
        <x:is>
          <x:t xml:space="preserve"/>
        </x:is>
      </x:c>
      <x:c r="R16" s="15" t="inlineStr">
        <x:is>
          <x:t xml:space="preserve"/>
        </x:is>
      </x:c>
      <x:c r="S16" s="15" t="inlineStr">
        <x:is>
          <x:t xml:space="preserve"/>
        </x:is>
      </x:c>
      <x:c r="T16" s="15" t="inlineStr">
        <x:is>
          <x:t xml:space="preserve"/>
        </x:is>
      </x:c>
      <x:c r="U16" s="15" t="inlineStr">
        <x:is>
          <x:t xml:space="preserve"/>
        </x:is>
      </x:c>
      <x:c r="V16" s="15" t="inlineStr">
        <x:is>
          <x:t xml:space="preserve"/>
        </x:is>
      </x:c>
      <x:c r="W16" s="15" t="inlineStr">
        <x:is>
          <x:t xml:space="preserve"/>
        </x:is>
      </x:c>
      <x:c r="X16" s="15" t="inlineStr">
        <x:is>
          <x:t xml:space="preserve"/>
        </x:is>
      </x:c>
      <x:c r="Y16" s="15" t="inlineStr">
        <x:is>
          <x:t xml:space="preserve"/>
        </x:is>
      </x:c>
      <x:c r="Z16" s="15" t="inlineStr">
        <x:is>
          <x:t xml:space="preserve"/>
        </x:is>
      </x:c>
      <x:c r="AA16" s="15" t="inlineStr">
        <x:is>
          <x:t xml:space="preserve"/>
        </x:is>
      </x:c>
      <x:c r="AB16" s="15" t="inlineStr">
        <x:is>
          <x:t xml:space="preserve"/>
        </x:is>
      </x:c>
      <x:c r="AC16" s="15" t="inlineStr">
        <x:is>
          <x:t xml:space="preserve"/>
        </x:is>
      </x:c>
      <x:c r="AD16" s="15" t="inlineStr">
        <x:is>
          <x:t xml:space="preserve"/>
        </x:is>
      </x:c>
    </x:row>
    <x:row r="17" ht="18" customHeight="1">
      <x:c r="A17" s="15" t="inlineStr">
        <x:is>
          <x:t xml:space="preserve">IMP-15</x:t>
        </x:is>
      </x:c>
      <x:c r="B17" s="9" t="str">
        <x:f>INDEX(Master!$F$4:$F$141,MATCH($A17,Master!$A$4:$A$141,0))</x:f>
        <x:v>Integrate external secret manager with Databricks secret scopes</x:v>
      </x:c>
      <x:c r="C17" s="15" t="str">
        <x:f>INDEX(Master!$B$4:$B$141,MATCH($A17,Master!$A$4:$A$141,0))</x:f>
        <x:v>Implementation</x:v>
      </x:c>
      <x:c r="D17" s="9" t="str">
        <x:f>INDEX(Master!$C$4:$C$141,MATCH($A17,Master!$A$4:$A$141,0))</x:f>
        <x:v>Security</x:v>
      </x:c>
      <x:c r="E17" s="15" t="str">
        <x:f>INDEX(Master!$O$4:$O$141,MATCH($A17,Master!$A$4:$A$141,0))</x:f>
        <x:v>4</x:v>
      </x:c>
      <x:c r="F17" s="34" t="str">
        <x:f>INDEX(Master!$P$4:$P$141,MATCH($A17,Master!$A$4:$A$141,0))</x:f>
        <x:v>4</x:v>
      </x:c>
      <x:c r="G17" s="15" t="inlineStr">
        <x:is>
          <x:t xml:space="preserve"/>
        </x:is>
      </x:c>
      <x:c r="H17" s="15" t="inlineStr">
        <x:is>
          <x:t xml:space="preserve"/>
        </x:is>
      </x:c>
      <x:c r="I17" s="15" t="inlineStr">
        <x:is>
          <x:t xml:space="preserve"/>
        </x:is>
      </x:c>
      <x:c r="J17" s="15" t="inlineStr">
        <x:is>
          <x:t xml:space="preserve"/>
        </x:is>
      </x:c>
      <x:c r="K17" s="15" t="inlineStr">
        <x:is>
          <x:t xml:space="preserve"/>
        </x:is>
      </x:c>
      <x:c r="L17" s="15" t="inlineStr">
        <x:is>
          <x:t xml:space="preserve"/>
        </x:is>
      </x:c>
      <x:c r="M17" s="15" t="inlineStr">
        <x:is>
          <x:t xml:space="preserve"/>
        </x:is>
      </x:c>
      <x:c r="N17" s="15" t="inlineStr">
        <x:is>
          <x:t xml:space="preserve"/>
        </x:is>
      </x:c>
      <x:c r="O17" s="15" t="inlineStr">
        <x:is>
          <x:t xml:space="preserve"/>
        </x:is>
      </x:c>
      <x:c r="P17" s="15" t="inlineStr">
        <x:is>
          <x:t xml:space="preserve"/>
        </x:is>
      </x:c>
      <x:c r="Q17" s="15" t="inlineStr">
        <x:is>
          <x:t xml:space="preserve"/>
        </x:is>
      </x:c>
      <x:c r="R17" s="15" t="inlineStr">
        <x:is>
          <x:t xml:space="preserve"/>
        </x:is>
      </x:c>
      <x:c r="S17" s="15" t="inlineStr">
        <x:is>
          <x:t xml:space="preserve"/>
        </x:is>
      </x:c>
      <x:c r="T17" s="15" t="inlineStr">
        <x:is>
          <x:t xml:space="preserve"/>
        </x:is>
      </x:c>
      <x:c r="U17" s="15" t="inlineStr">
        <x:is>
          <x:t xml:space="preserve"/>
        </x:is>
      </x:c>
      <x:c r="V17" s="15" t="inlineStr">
        <x:is>
          <x:t xml:space="preserve"/>
        </x:is>
      </x:c>
      <x:c r="W17" s="15" t="inlineStr">
        <x:is>
          <x:t xml:space="preserve"/>
        </x:is>
      </x:c>
      <x:c r="X17" s="15" t="inlineStr">
        <x:is>
          <x:t xml:space="preserve"/>
        </x:is>
      </x:c>
      <x:c r="Y17" s="15" t="inlineStr">
        <x:is>
          <x:t xml:space="preserve"/>
        </x:is>
      </x:c>
      <x:c r="Z17" s="15" t="inlineStr">
        <x:is>
          <x:t xml:space="preserve"/>
        </x:is>
      </x:c>
      <x:c r="AA17" s="15" t="inlineStr">
        <x:is>
          <x:t xml:space="preserve"/>
        </x:is>
      </x:c>
      <x:c r="AB17" s="15" t="inlineStr">
        <x:is>
          <x:t xml:space="preserve"/>
        </x:is>
      </x:c>
      <x:c r="AC17" s="15" t="inlineStr">
        <x:is>
          <x:t xml:space="preserve"/>
        </x:is>
      </x:c>
      <x:c r="AD17" s="15" t="inlineStr">
        <x:is>
          <x:t xml:space="preserve"/>
        </x:is>
      </x:c>
    </x:row>
    <x:row r="18" ht="18" customHeight="1">
      <x:c r="A18" s="15" t="inlineStr">
        <x:is>
          <x:t xml:space="preserve">IMP-18</x:t>
        </x:is>
      </x:c>
      <x:c r="B18" s="9" t="str">
        <x:f>INDEX(Master!$F$4:$F$141,MATCH($A18,Master!$A$4:$A$141,0))</x:f>
        <x:v>Implement CI pipeline (tests, lint, packaging)</x:v>
      </x:c>
      <x:c r="C18" s="15" t="str">
        <x:f>INDEX(Master!$B$4:$B$141,MATCH($A18,Master!$A$4:$A$141,0))</x:f>
        <x:v>Implementation</x:v>
      </x:c>
      <x:c r="D18" s="9" t="str">
        <x:f>INDEX(Master!$C$4:$C$141,MATCH($A18,Master!$A$4:$A$141,0))</x:f>
        <x:v>DevSecOps</x:v>
      </x:c>
      <x:c r="E18" s="15" t="str">
        <x:f>INDEX(Master!$O$4:$O$141,MATCH($A18,Master!$A$4:$A$141,0))</x:f>
        <x:v>4</x:v>
      </x:c>
      <x:c r="F18" s="34" t="str">
        <x:f>INDEX(Master!$P$4:$P$141,MATCH($A18,Master!$A$4:$A$141,0))</x:f>
        <x:v>5</x:v>
      </x:c>
      <x:c r="G18" s="15" t="inlineStr">
        <x:is>
          <x:t xml:space="preserve"/>
        </x:is>
      </x:c>
      <x:c r="H18" s="15" t="inlineStr">
        <x:is>
          <x:t xml:space="preserve"/>
        </x:is>
      </x:c>
      <x:c r="I18" s="15" t="inlineStr">
        <x:is>
          <x:t xml:space="preserve"/>
        </x:is>
      </x:c>
      <x:c r="J18" s="15" t="inlineStr">
        <x:is>
          <x:t xml:space="preserve"/>
        </x:is>
      </x:c>
      <x:c r="K18" s="15" t="inlineStr">
        <x:is>
          <x:t xml:space="preserve"/>
        </x:is>
      </x:c>
      <x:c r="L18" s="15" t="inlineStr">
        <x:is>
          <x:t xml:space="preserve"/>
        </x:is>
      </x:c>
      <x:c r="M18" s="15" t="inlineStr">
        <x:is>
          <x:t xml:space="preserve"/>
        </x:is>
      </x:c>
      <x:c r="N18" s="15" t="inlineStr">
        <x:is>
          <x:t xml:space="preserve"/>
        </x:is>
      </x:c>
      <x:c r="O18" s="15" t="inlineStr">
        <x:is>
          <x:t xml:space="preserve"/>
        </x:is>
      </x:c>
      <x:c r="P18" s="15" t="inlineStr">
        <x:is>
          <x:t xml:space="preserve"/>
        </x:is>
      </x:c>
      <x:c r="Q18" s="15" t="inlineStr">
        <x:is>
          <x:t xml:space="preserve"/>
        </x:is>
      </x:c>
      <x:c r="R18" s="15" t="inlineStr">
        <x:is>
          <x:t xml:space="preserve"/>
        </x:is>
      </x:c>
      <x:c r="S18" s="15" t="inlineStr">
        <x:is>
          <x:t xml:space="preserve"/>
        </x:is>
      </x:c>
      <x:c r="T18" s="15" t="inlineStr">
        <x:is>
          <x:t xml:space="preserve"/>
        </x:is>
      </x:c>
      <x:c r="U18" s="15" t="inlineStr">
        <x:is>
          <x:t xml:space="preserve"/>
        </x:is>
      </x:c>
      <x:c r="V18" s="15" t="inlineStr">
        <x:is>
          <x:t xml:space="preserve"/>
        </x:is>
      </x:c>
      <x:c r="W18" s="15" t="inlineStr">
        <x:is>
          <x:t xml:space="preserve"/>
        </x:is>
      </x:c>
      <x:c r="X18" s="15" t="inlineStr">
        <x:is>
          <x:t xml:space="preserve"/>
        </x:is>
      </x:c>
      <x:c r="Y18" s="15" t="inlineStr">
        <x:is>
          <x:t xml:space="preserve"/>
        </x:is>
      </x:c>
      <x:c r="Z18" s="15" t="inlineStr">
        <x:is>
          <x:t xml:space="preserve"/>
        </x:is>
      </x:c>
      <x:c r="AA18" s="15" t="inlineStr">
        <x:is>
          <x:t xml:space="preserve"/>
        </x:is>
      </x:c>
      <x:c r="AB18" s="15" t="inlineStr">
        <x:is>
          <x:t xml:space="preserve"/>
        </x:is>
      </x:c>
      <x:c r="AC18" s="15" t="inlineStr">
        <x:is>
          <x:t xml:space="preserve"/>
        </x:is>
      </x:c>
      <x:c r="AD18" s="15" t="inlineStr">
        <x:is>
          <x:t xml:space="preserve"/>
        </x:is>
      </x:c>
    </x:row>
    <x:row r="19" ht="18" customHeight="1">
      <x:c r="A19" s="15" t="inlineStr">
        <x:is>
          <x:t xml:space="preserve">IMP-09</x:t>
        </x:is>
      </x:c>
      <x:c r="B19" s="9" t="str">
        <x:f>INDEX(Master!$F$4:$F$141,MATCH($A19,Master!$A$4:$A$141,0))</x:f>
        <x:v>Implement pagination strategies</x:v>
      </x:c>
      <x:c r="C19" s="15" t="str">
        <x:f>INDEX(Master!$B$4:$B$141,MATCH($A19,Master!$A$4:$A$141,0))</x:f>
        <x:v>Implementation</x:v>
      </x:c>
      <x:c r="D19" s="9" t="str">
        <x:f>INDEX(Master!$C$4:$C$141,MATCH($A19,Master!$A$4:$A$141,0))</x:f>
        <x:v>Runtime</x:v>
      </x:c>
      <x:c r="E19" s="15" t="str">
        <x:f>INDEX(Master!$O$4:$O$141,MATCH($A19,Master!$A$4:$A$141,0))</x:f>
        <x:v>5</x:v>
      </x:c>
      <x:c r="F19" s="34" t="str">
        <x:f>INDEX(Master!$P$4:$P$141,MATCH($A19,Master!$A$4:$A$141,0))</x:f>
        <x:v>5</x:v>
      </x:c>
      <x:c r="G19" s="15" t="inlineStr">
        <x:is>
          <x:t xml:space="preserve"/>
        </x:is>
      </x:c>
      <x:c r="H19" s="15" t="inlineStr">
        <x:is>
          <x:t xml:space="preserve"/>
        </x:is>
      </x:c>
      <x:c r="I19" s="15" t="inlineStr">
        <x:is>
          <x:t xml:space="preserve"/>
        </x:is>
      </x:c>
      <x:c r="J19" s="15" t="inlineStr">
        <x:is>
          <x:t xml:space="preserve"/>
        </x:is>
      </x:c>
      <x:c r="K19" s="15" t="inlineStr">
        <x:is>
          <x:t xml:space="preserve"/>
        </x:is>
      </x:c>
      <x:c r="L19" s="15" t="inlineStr">
        <x:is>
          <x:t xml:space="preserve"/>
        </x:is>
      </x:c>
      <x:c r="M19" s="15" t="inlineStr">
        <x:is>
          <x:t xml:space="preserve"/>
        </x:is>
      </x:c>
      <x:c r="N19" s="15" t="inlineStr">
        <x:is>
          <x:t xml:space="preserve"/>
        </x:is>
      </x:c>
      <x:c r="O19" s="15" t="inlineStr">
        <x:is>
          <x:t xml:space="preserve"/>
        </x:is>
      </x:c>
      <x:c r="P19" s="15" t="inlineStr">
        <x:is>
          <x:t xml:space="preserve"/>
        </x:is>
      </x:c>
      <x:c r="Q19" s="15" t="inlineStr">
        <x:is>
          <x:t xml:space="preserve"/>
        </x:is>
      </x:c>
      <x:c r="R19" s="15" t="inlineStr">
        <x:is>
          <x:t xml:space="preserve"/>
        </x:is>
      </x:c>
      <x:c r="S19" s="15" t="inlineStr">
        <x:is>
          <x:t xml:space="preserve"/>
        </x:is>
      </x:c>
      <x:c r="T19" s="15" t="inlineStr">
        <x:is>
          <x:t xml:space="preserve"/>
        </x:is>
      </x:c>
      <x:c r="U19" s="15" t="inlineStr">
        <x:is>
          <x:t xml:space="preserve"/>
        </x:is>
      </x:c>
      <x:c r="V19" s="15" t="inlineStr">
        <x:is>
          <x:t xml:space="preserve"/>
        </x:is>
      </x:c>
      <x:c r="W19" s="15" t="inlineStr">
        <x:is>
          <x:t xml:space="preserve"/>
        </x:is>
      </x:c>
      <x:c r="X19" s="15" t="inlineStr">
        <x:is>
          <x:t xml:space="preserve"/>
        </x:is>
      </x:c>
      <x:c r="Y19" s="15" t="inlineStr">
        <x:is>
          <x:t xml:space="preserve"/>
        </x:is>
      </x:c>
      <x:c r="Z19" s="15" t="inlineStr">
        <x:is>
          <x:t xml:space="preserve"/>
        </x:is>
      </x:c>
      <x:c r="AA19" s="15" t="inlineStr">
        <x:is>
          <x:t xml:space="preserve"/>
        </x:is>
      </x:c>
      <x:c r="AB19" s="15" t="inlineStr">
        <x:is>
          <x:t xml:space="preserve"/>
        </x:is>
      </x:c>
      <x:c r="AC19" s="15" t="inlineStr">
        <x:is>
          <x:t xml:space="preserve"/>
        </x:is>
      </x:c>
      <x:c r="AD19" s="15" t="inlineStr">
        <x:is>
          <x:t xml:space="preserve"/>
        </x:is>
      </x:c>
    </x:row>
    <x:row r="20" ht="18" customHeight="1">
      <x:c r="A20" s="15" t="inlineStr">
        <x:is>
          <x:t xml:space="preserve">IMP-10</x:t>
        </x:is>
      </x:c>
      <x:c r="B20" s="9" t="str">
        <x:f>INDEX(Master!$F$4:$F$141,MATCH($A20,Master!$A$4:$A$141,0))</x:f>
        <x:v>Implement incremental load strategies + checkpointing</x:v>
      </x:c>
      <x:c r="C20" s="15" t="str">
        <x:f>INDEX(Master!$B$4:$B$141,MATCH($A20,Master!$A$4:$A$141,0))</x:f>
        <x:v>Implementation</x:v>
      </x:c>
      <x:c r="D20" s="9" t="str">
        <x:f>INDEX(Master!$C$4:$C$141,MATCH($A20,Master!$A$4:$A$141,0))</x:f>
        <x:v>Runtime</x:v>
      </x:c>
      <x:c r="E20" s="15" t="str">
        <x:f>INDEX(Master!$O$4:$O$141,MATCH($A20,Master!$A$4:$A$141,0))</x:f>
        <x:v>5</x:v>
      </x:c>
      <x:c r="F20" s="34" t="str">
        <x:f>INDEX(Master!$P$4:$P$141,MATCH($A20,Master!$A$4:$A$141,0))</x:f>
        <x:v>6</x:v>
      </x:c>
      <x:c r="G20" s="15" t="inlineStr">
        <x:is>
          <x:t xml:space="preserve"/>
        </x:is>
      </x:c>
      <x:c r="H20" s="15" t="inlineStr">
        <x:is>
          <x:t xml:space="preserve"/>
        </x:is>
      </x:c>
      <x:c r="I20" s="15" t="inlineStr">
        <x:is>
          <x:t xml:space="preserve"/>
        </x:is>
      </x:c>
      <x:c r="J20" s="15" t="inlineStr">
        <x:is>
          <x:t xml:space="preserve"/>
        </x:is>
      </x:c>
      <x:c r="K20" s="15" t="inlineStr">
        <x:is>
          <x:t xml:space="preserve"/>
        </x:is>
      </x:c>
      <x:c r="L20" s="15" t="inlineStr">
        <x:is>
          <x:t xml:space="preserve"/>
        </x:is>
      </x:c>
      <x:c r="M20" s="15" t="inlineStr">
        <x:is>
          <x:t xml:space="preserve"/>
        </x:is>
      </x:c>
      <x:c r="N20" s="15" t="inlineStr">
        <x:is>
          <x:t xml:space="preserve"/>
        </x:is>
      </x:c>
      <x:c r="O20" s="15" t="inlineStr">
        <x:is>
          <x:t xml:space="preserve"/>
        </x:is>
      </x:c>
      <x:c r="P20" s="15" t="inlineStr">
        <x:is>
          <x:t xml:space="preserve"/>
        </x:is>
      </x:c>
      <x:c r="Q20" s="15" t="inlineStr">
        <x:is>
          <x:t xml:space="preserve"/>
        </x:is>
      </x:c>
      <x:c r="R20" s="15" t="inlineStr">
        <x:is>
          <x:t xml:space="preserve"/>
        </x:is>
      </x:c>
      <x:c r="S20" s="15" t="inlineStr">
        <x:is>
          <x:t xml:space="preserve"/>
        </x:is>
      </x:c>
      <x:c r="T20" s="15" t="inlineStr">
        <x:is>
          <x:t xml:space="preserve"/>
        </x:is>
      </x:c>
      <x:c r="U20" s="15" t="inlineStr">
        <x:is>
          <x:t xml:space="preserve"/>
        </x:is>
      </x:c>
      <x:c r="V20" s="15" t="inlineStr">
        <x:is>
          <x:t xml:space="preserve"/>
        </x:is>
      </x:c>
      <x:c r="W20" s="15" t="inlineStr">
        <x:is>
          <x:t xml:space="preserve"/>
        </x:is>
      </x:c>
      <x:c r="X20" s="15" t="inlineStr">
        <x:is>
          <x:t xml:space="preserve"/>
        </x:is>
      </x:c>
      <x:c r="Y20" s="15" t="inlineStr">
        <x:is>
          <x:t xml:space="preserve"/>
        </x:is>
      </x:c>
      <x:c r="Z20" s="15" t="inlineStr">
        <x:is>
          <x:t xml:space="preserve"/>
        </x:is>
      </x:c>
      <x:c r="AA20" s="15" t="inlineStr">
        <x:is>
          <x:t xml:space="preserve"/>
        </x:is>
      </x:c>
      <x:c r="AB20" s="15" t="inlineStr">
        <x:is>
          <x:t xml:space="preserve"/>
        </x:is>
      </x:c>
      <x:c r="AC20" s="15" t="inlineStr">
        <x:is>
          <x:t xml:space="preserve"/>
        </x:is>
      </x:c>
      <x:c r="AD20" s="15" t="inlineStr">
        <x:is>
          <x:t xml:space="preserve"/>
        </x:is>
      </x:c>
    </x:row>
    <x:row r="21" ht="18" customHeight="1">
      <x:c r="A21" s="15" t="inlineStr">
        <x:is>
          <x:t xml:space="preserve">IMP-14</x:t>
        </x:is>
      </x:c>
      <x:c r="B21" s="9" t="str">
        <x:f>INDEX(Master!$F$4:$F$141,MATCH($A21,Master!$A$4:$A$141,0))</x:f>
        <x:v>Implement Bronze writer (Delta) with metadata columns</x:v>
      </x:c>
      <x:c r="C21" s="15" t="str">
        <x:f>INDEX(Master!$B$4:$B$141,MATCH($A21,Master!$A$4:$A$141,0))</x:f>
        <x:v>Implementation</x:v>
      </x:c>
      <x:c r="D21" s="9" t="str">
        <x:f>INDEX(Master!$C$4:$C$141,MATCH($A21,Master!$A$4:$A$141,0))</x:f>
        <x:v>Bronze</x:v>
      </x:c>
      <x:c r="E21" s="15" t="str">
        <x:f>INDEX(Master!$O$4:$O$141,MATCH($A21,Master!$A$4:$A$141,0))</x:f>
        <x:v>5</x:v>
      </x:c>
      <x:c r="F21" s="34" t="str">
        <x:f>INDEX(Master!$P$4:$P$141,MATCH($A21,Master!$A$4:$A$141,0))</x:f>
        <x:v>6</x:v>
      </x:c>
      <x:c r="G21" s="15" t="inlineStr">
        <x:is>
          <x:t xml:space="preserve"/>
        </x:is>
      </x:c>
      <x:c r="H21" s="15" t="inlineStr">
        <x:is>
          <x:t xml:space="preserve"/>
        </x:is>
      </x:c>
      <x:c r="I21" s="15" t="inlineStr">
        <x:is>
          <x:t xml:space="preserve"/>
        </x:is>
      </x:c>
      <x:c r="J21" s="15" t="inlineStr">
        <x:is>
          <x:t xml:space="preserve"/>
        </x:is>
      </x:c>
      <x:c r="K21" s="15" t="inlineStr">
        <x:is>
          <x:t xml:space="preserve"/>
        </x:is>
      </x:c>
      <x:c r="L21" s="15" t="inlineStr">
        <x:is>
          <x:t xml:space="preserve"/>
        </x:is>
      </x:c>
      <x:c r="M21" s="15" t="inlineStr">
        <x:is>
          <x:t xml:space="preserve"/>
        </x:is>
      </x:c>
      <x:c r="N21" s="15" t="inlineStr">
        <x:is>
          <x:t xml:space="preserve"/>
        </x:is>
      </x:c>
      <x:c r="O21" s="15" t="inlineStr">
        <x:is>
          <x:t xml:space="preserve"/>
        </x:is>
      </x:c>
      <x:c r="P21" s="15" t="inlineStr">
        <x:is>
          <x:t xml:space="preserve"/>
        </x:is>
      </x:c>
      <x:c r="Q21" s="15" t="inlineStr">
        <x:is>
          <x:t xml:space="preserve"/>
        </x:is>
      </x:c>
      <x:c r="R21" s="15" t="inlineStr">
        <x:is>
          <x:t xml:space="preserve"/>
        </x:is>
      </x:c>
      <x:c r="S21" s="15" t="inlineStr">
        <x:is>
          <x:t xml:space="preserve"/>
        </x:is>
      </x:c>
      <x:c r="T21" s="15" t="inlineStr">
        <x:is>
          <x:t xml:space="preserve"/>
        </x:is>
      </x:c>
      <x:c r="U21" s="15" t="inlineStr">
        <x:is>
          <x:t xml:space="preserve"/>
        </x:is>
      </x:c>
      <x:c r="V21" s="15" t="inlineStr">
        <x:is>
          <x:t xml:space="preserve"/>
        </x:is>
      </x:c>
      <x:c r="W21" s="15" t="inlineStr">
        <x:is>
          <x:t xml:space="preserve"/>
        </x:is>
      </x:c>
      <x:c r="X21" s="15" t="inlineStr">
        <x:is>
          <x:t xml:space="preserve"/>
        </x:is>
      </x:c>
      <x:c r="Y21" s="15" t="inlineStr">
        <x:is>
          <x:t xml:space="preserve"/>
        </x:is>
      </x:c>
      <x:c r="Z21" s="15" t="inlineStr">
        <x:is>
          <x:t xml:space="preserve"/>
        </x:is>
      </x:c>
      <x:c r="AA21" s="15" t="inlineStr">
        <x:is>
          <x:t xml:space="preserve"/>
        </x:is>
      </x:c>
      <x:c r="AB21" s="15" t="inlineStr">
        <x:is>
          <x:t xml:space="preserve"/>
        </x:is>
      </x:c>
      <x:c r="AC21" s="15" t="inlineStr">
        <x:is>
          <x:t xml:space="preserve"/>
        </x:is>
      </x:c>
      <x:c r="AD21" s="15" t="inlineStr">
        <x:is>
          <x:t xml:space="preserve"/>
        </x:is>
      </x:c>
    </x:row>
    <x:row r="22" ht="18" customHeight="1">
      <x:c r="A22" s="15" t="inlineStr">
        <x:is>
          <x:t xml:space="preserve">IMP-16</x:t>
        </x:is>
      </x:c>
      <x:c r="B22" s="9" t="str">
        <x:f>INDEX(Master!$F$4:$F$141,MATCH($A22,Master!$A$4:$A$141,0))</x:f>
        <x:v>Implement auth handlers (OAuth2/API key) in runtime</x:v>
      </x:c>
      <x:c r="C22" s="15" t="str">
        <x:f>INDEX(Master!$B$4:$B$141,MATCH($A22,Master!$A$4:$A$141,0))</x:f>
        <x:v>Implementation</x:v>
      </x:c>
      <x:c r="D22" s="9" t="str">
        <x:f>INDEX(Master!$C$4:$C$141,MATCH($A22,Master!$A$4:$A$141,0))</x:f>
        <x:v>Security</x:v>
      </x:c>
      <x:c r="E22" s="15" t="str">
        <x:f>INDEX(Master!$O$4:$O$141,MATCH($A22,Master!$A$4:$A$141,0))</x:f>
        <x:v>5</x:v>
      </x:c>
      <x:c r="F22" s="34" t="str">
        <x:f>INDEX(Master!$P$4:$P$141,MATCH($A22,Master!$A$4:$A$141,0))</x:f>
        <x:v>5</x:v>
      </x:c>
      <x:c r="G22" s="15" t="inlineStr">
        <x:is>
          <x:t xml:space="preserve"/>
        </x:is>
      </x:c>
      <x:c r="H22" s="15" t="inlineStr">
        <x:is>
          <x:t xml:space="preserve"/>
        </x:is>
      </x:c>
      <x:c r="I22" s="15" t="inlineStr">
        <x:is>
          <x:t xml:space="preserve"/>
        </x:is>
      </x:c>
      <x:c r="J22" s="15" t="inlineStr">
        <x:is>
          <x:t xml:space="preserve"/>
        </x:is>
      </x:c>
      <x:c r="K22" s="15" t="inlineStr">
        <x:is>
          <x:t xml:space="preserve"/>
        </x:is>
      </x:c>
      <x:c r="L22" s="15" t="inlineStr">
        <x:is>
          <x:t xml:space="preserve"/>
        </x:is>
      </x:c>
      <x:c r="M22" s="15" t="inlineStr">
        <x:is>
          <x:t xml:space="preserve"/>
        </x:is>
      </x:c>
      <x:c r="N22" s="15" t="inlineStr">
        <x:is>
          <x:t xml:space="preserve"/>
        </x:is>
      </x:c>
      <x:c r="O22" s="15" t="inlineStr">
        <x:is>
          <x:t xml:space="preserve"/>
        </x:is>
      </x:c>
      <x:c r="P22" s="15" t="inlineStr">
        <x:is>
          <x:t xml:space="preserve"/>
        </x:is>
      </x:c>
      <x:c r="Q22" s="15" t="inlineStr">
        <x:is>
          <x:t xml:space="preserve"/>
        </x:is>
      </x:c>
      <x:c r="R22" s="15" t="inlineStr">
        <x:is>
          <x:t xml:space="preserve"/>
        </x:is>
      </x:c>
      <x:c r="S22" s="15" t="inlineStr">
        <x:is>
          <x:t xml:space="preserve"/>
        </x:is>
      </x:c>
      <x:c r="T22" s="15" t="inlineStr">
        <x:is>
          <x:t xml:space="preserve"/>
        </x:is>
      </x:c>
      <x:c r="U22" s="15" t="inlineStr">
        <x:is>
          <x:t xml:space="preserve"/>
        </x:is>
      </x:c>
      <x:c r="V22" s="15" t="inlineStr">
        <x:is>
          <x:t xml:space="preserve"/>
        </x:is>
      </x:c>
      <x:c r="W22" s="15" t="inlineStr">
        <x:is>
          <x:t xml:space="preserve"/>
        </x:is>
      </x:c>
      <x:c r="X22" s="15" t="inlineStr">
        <x:is>
          <x:t xml:space="preserve"/>
        </x:is>
      </x:c>
      <x:c r="Y22" s="15" t="inlineStr">
        <x:is>
          <x:t xml:space="preserve"/>
        </x:is>
      </x:c>
      <x:c r="Z22" s="15" t="inlineStr">
        <x:is>
          <x:t xml:space="preserve"/>
        </x:is>
      </x:c>
      <x:c r="AA22" s="15" t="inlineStr">
        <x:is>
          <x:t xml:space="preserve"/>
        </x:is>
      </x:c>
      <x:c r="AB22" s="15" t="inlineStr">
        <x:is>
          <x:t xml:space="preserve"/>
        </x:is>
      </x:c>
      <x:c r="AC22" s="15" t="inlineStr">
        <x:is>
          <x:t xml:space="preserve"/>
        </x:is>
      </x:c>
      <x:c r="AD22" s="15" t="inlineStr">
        <x:is>
          <x:t xml:space="preserve"/>
        </x:is>
      </x:c>
    </x:row>
    <x:row r="23" ht="18" customHeight="1">
      <x:c r="A23" s="15" t="inlineStr">
        <x:is>
          <x:t xml:space="preserve">IMP-17</x:t>
        </x:is>
      </x:c>
      <x:c r="B23" s="9" t="str">
        <x:f>INDEX(Master!$F$4:$F$141,MATCH($A23,Master!$A$4:$A$141,0))</x:f>
        <x:v>Implement service principals for jobs + UC permissions</x:v>
      </x:c>
      <x:c r="C23" s="15" t="str">
        <x:f>INDEX(Master!$B$4:$B$141,MATCH($A23,Master!$A$4:$A$141,0))</x:f>
        <x:v>Implementation</x:v>
      </x:c>
      <x:c r="D23" s="9" t="str">
        <x:f>INDEX(Master!$C$4:$C$141,MATCH($A23,Master!$A$4:$A$141,0))</x:f>
        <x:v>Security</x:v>
      </x:c>
      <x:c r="E23" s="15" t="str">
        <x:f>INDEX(Master!$O$4:$O$141,MATCH($A23,Master!$A$4:$A$141,0))</x:f>
        <x:v>5</x:v>
      </x:c>
      <x:c r="F23" s="34" t="str">
        <x:f>INDEX(Master!$P$4:$P$141,MATCH($A23,Master!$A$4:$A$141,0))</x:f>
        <x:v>5</x:v>
      </x:c>
      <x:c r="G23" s="15" t="inlineStr">
        <x:is>
          <x:t xml:space="preserve"/>
        </x:is>
      </x:c>
      <x:c r="H23" s="15" t="inlineStr">
        <x:is>
          <x:t xml:space="preserve"/>
        </x:is>
      </x:c>
      <x:c r="I23" s="15" t="inlineStr">
        <x:is>
          <x:t xml:space="preserve"/>
        </x:is>
      </x:c>
      <x:c r="J23" s="15" t="inlineStr">
        <x:is>
          <x:t xml:space="preserve"/>
        </x:is>
      </x:c>
      <x:c r="K23" s="15" t="inlineStr">
        <x:is>
          <x:t xml:space="preserve"/>
        </x:is>
      </x:c>
      <x:c r="L23" s="15" t="inlineStr">
        <x:is>
          <x:t xml:space="preserve"/>
        </x:is>
      </x:c>
      <x:c r="M23" s="15" t="inlineStr">
        <x:is>
          <x:t xml:space="preserve"/>
        </x:is>
      </x:c>
      <x:c r="N23" s="15" t="inlineStr">
        <x:is>
          <x:t xml:space="preserve"/>
        </x:is>
      </x:c>
      <x:c r="O23" s="15" t="inlineStr">
        <x:is>
          <x:t xml:space="preserve"/>
        </x:is>
      </x:c>
      <x:c r="P23" s="15" t="inlineStr">
        <x:is>
          <x:t xml:space="preserve"/>
        </x:is>
      </x:c>
      <x:c r="Q23" s="15" t="inlineStr">
        <x:is>
          <x:t xml:space="preserve"/>
        </x:is>
      </x:c>
      <x:c r="R23" s="15" t="inlineStr">
        <x:is>
          <x:t xml:space="preserve"/>
        </x:is>
      </x:c>
      <x:c r="S23" s="15" t="inlineStr">
        <x:is>
          <x:t xml:space="preserve"/>
        </x:is>
      </x:c>
      <x:c r="T23" s="15" t="inlineStr">
        <x:is>
          <x:t xml:space="preserve"/>
        </x:is>
      </x:c>
      <x:c r="U23" s="15" t="inlineStr">
        <x:is>
          <x:t xml:space="preserve"/>
        </x:is>
      </x:c>
      <x:c r="V23" s="15" t="inlineStr">
        <x:is>
          <x:t xml:space="preserve"/>
        </x:is>
      </x:c>
      <x:c r="W23" s="15" t="inlineStr">
        <x:is>
          <x:t xml:space="preserve"/>
        </x:is>
      </x:c>
      <x:c r="X23" s="15" t="inlineStr">
        <x:is>
          <x:t xml:space="preserve"/>
        </x:is>
      </x:c>
      <x:c r="Y23" s="15" t="inlineStr">
        <x:is>
          <x:t xml:space="preserve"/>
        </x:is>
      </x:c>
      <x:c r="Z23" s="15" t="inlineStr">
        <x:is>
          <x:t xml:space="preserve"/>
        </x:is>
      </x:c>
      <x:c r="AA23" s="15" t="inlineStr">
        <x:is>
          <x:t xml:space="preserve"/>
        </x:is>
      </x:c>
      <x:c r="AB23" s="15" t="inlineStr">
        <x:is>
          <x:t xml:space="preserve"/>
        </x:is>
      </x:c>
      <x:c r="AC23" s="15" t="inlineStr">
        <x:is>
          <x:t xml:space="preserve"/>
        </x:is>
      </x:c>
      <x:c r="AD23" s="15" t="inlineStr">
        <x:is>
          <x:t xml:space="preserve"/>
        </x:is>
      </x:c>
    </x:row>
    <x:row r="24" ht="18" customHeight="1">
      <x:c r="A24" s="15" t="inlineStr">
        <x:is>
          <x:t xml:space="preserve">IMP-20</x:t>
        </x:is>
      </x:c>
      <x:c r="B24" s="9" t="str">
        <x:f>INDEX(Master!$F$4:$F$141,MATCH($A24,Master!$A$4:$A$141,0))</x:f>
        <x:v>Implement controller workflow (fan-out per source/endpoint)</x:v>
      </x:c>
      <x:c r="C24" s="15" t="str">
        <x:f>INDEX(Master!$B$4:$B$141,MATCH($A24,Master!$A$4:$A$141,0))</x:f>
        <x:v>Implementation</x:v>
      </x:c>
      <x:c r="D24" s="9" t="str">
        <x:f>INDEX(Master!$C$4:$C$141,MATCH($A24,Master!$A$4:$A$141,0))</x:f>
        <x:v>Orchestration</x:v>
      </x:c>
      <x:c r="E24" s="15" t="str">
        <x:f>INDEX(Master!$O$4:$O$141,MATCH($A24,Master!$A$4:$A$141,0))</x:f>
        <x:v>6</x:v>
      </x:c>
      <x:c r="F24" s="34" t="str">
        <x:f>INDEX(Master!$P$4:$P$141,MATCH($A24,Master!$A$4:$A$141,0))</x:f>
        <x:v>7</x:v>
      </x:c>
      <x:c r="G24" s="15" t="inlineStr">
        <x:is>
          <x:t xml:space="preserve"/>
        </x:is>
      </x:c>
      <x:c r="H24" s="15" t="inlineStr">
        <x:is>
          <x:t xml:space="preserve"/>
        </x:is>
      </x:c>
      <x:c r="I24" s="15" t="inlineStr">
        <x:is>
          <x:t xml:space="preserve"/>
        </x:is>
      </x:c>
      <x:c r="J24" s="15" t="inlineStr">
        <x:is>
          <x:t xml:space="preserve"/>
        </x:is>
      </x:c>
      <x:c r="K24" s="15" t="inlineStr">
        <x:is>
          <x:t xml:space="preserve"/>
        </x:is>
      </x:c>
      <x:c r="L24" s="15" t="inlineStr">
        <x:is>
          <x:t xml:space="preserve"/>
        </x:is>
      </x:c>
      <x:c r="M24" s="15" t="inlineStr">
        <x:is>
          <x:t xml:space="preserve"/>
        </x:is>
      </x:c>
      <x:c r="N24" s="15" t="inlineStr">
        <x:is>
          <x:t xml:space="preserve"/>
        </x:is>
      </x:c>
      <x:c r="O24" s="15" t="inlineStr">
        <x:is>
          <x:t xml:space="preserve"/>
        </x:is>
      </x:c>
      <x:c r="P24" s="15" t="inlineStr">
        <x:is>
          <x:t xml:space="preserve"/>
        </x:is>
      </x:c>
      <x:c r="Q24" s="15" t="inlineStr">
        <x:is>
          <x:t xml:space="preserve"/>
        </x:is>
      </x:c>
      <x:c r="R24" s="15" t="inlineStr">
        <x:is>
          <x:t xml:space="preserve"/>
        </x:is>
      </x:c>
      <x:c r="S24" s="15" t="inlineStr">
        <x:is>
          <x:t xml:space="preserve"/>
        </x:is>
      </x:c>
      <x:c r="T24" s="15" t="inlineStr">
        <x:is>
          <x:t xml:space="preserve"/>
        </x:is>
      </x:c>
      <x:c r="U24" s="15" t="inlineStr">
        <x:is>
          <x:t xml:space="preserve"/>
        </x:is>
      </x:c>
      <x:c r="V24" s="15" t="inlineStr">
        <x:is>
          <x:t xml:space="preserve"/>
        </x:is>
      </x:c>
      <x:c r="W24" s="15" t="inlineStr">
        <x:is>
          <x:t xml:space="preserve"/>
        </x:is>
      </x:c>
      <x:c r="X24" s="15" t="inlineStr">
        <x:is>
          <x:t xml:space="preserve"/>
        </x:is>
      </x:c>
      <x:c r="Y24" s="15" t="inlineStr">
        <x:is>
          <x:t xml:space="preserve"/>
        </x:is>
      </x:c>
      <x:c r="Z24" s="15" t="inlineStr">
        <x:is>
          <x:t xml:space="preserve"/>
        </x:is>
      </x:c>
      <x:c r="AA24" s="15" t="inlineStr">
        <x:is>
          <x:t xml:space="preserve"/>
        </x:is>
      </x:c>
      <x:c r="AB24" s="15" t="inlineStr">
        <x:is>
          <x:t xml:space="preserve"/>
        </x:is>
      </x:c>
      <x:c r="AC24" s="15" t="inlineStr">
        <x:is>
          <x:t xml:space="preserve"/>
        </x:is>
      </x:c>
      <x:c r="AD24" s="15" t="inlineStr">
        <x:is>
          <x:t xml:space="preserve"/>
        </x:is>
      </x:c>
    </x:row>
    <x:row r="25" ht="18" customHeight="1">
      <x:c r="A25" s="15" t="inlineStr">
        <x:is>
          <x:t xml:space="preserve">IMP-22</x:t>
        </x:is>
      </x:c>
      <x:c r="B25" s="9">
        <x:f>INDEX(Master!$F$4:$F$141,MATCH($A25,Master!$A$4:$A$141,0))</x:f>
        <x:v>42</x:v>
      </x:c>
      <x:c r="C25" s="15">
        <x:f>INDEX(Master!$B$4:$B$141,MATCH($A25,Master!$A$4:$A$141,0))</x:f>
        <x:v>42</x:v>
      </x:c>
      <x:c r="D25" s="9">
        <x:f>INDEX(Master!$C$4:$C$141,MATCH($A25,Master!$A$4:$A$141,0))</x:f>
        <x:v>42</x:v>
      </x:c>
      <x:c r="E25" s="15">
        <x:f>INDEX(Master!$O$4:$O$141,MATCH($A25,Master!$A$4:$A$141,0))</x:f>
        <x:v>42</x:v>
      </x:c>
      <x:c r="F25" s="34">
        <x:f>INDEX(Master!$P$4:$P$141,MATCH($A25,Master!$A$4:$A$141,0))</x:f>
        <x:v>42</x:v>
      </x:c>
      <x:c r="G25" s="15" t="inlineStr">
        <x:is>
          <x:t xml:space="preserve"/>
        </x:is>
      </x:c>
      <x:c r="H25" s="15" t="inlineStr">
        <x:is>
          <x:t xml:space="preserve"/>
        </x:is>
      </x:c>
      <x:c r="I25" s="15" t="inlineStr">
        <x:is>
          <x:t xml:space="preserve"/>
        </x:is>
      </x:c>
      <x:c r="J25" s="15" t="inlineStr">
        <x:is>
          <x:t xml:space="preserve"/>
        </x:is>
      </x:c>
      <x:c r="K25" s="15" t="inlineStr">
        <x:is>
          <x:t xml:space="preserve"/>
        </x:is>
      </x:c>
      <x:c r="L25" s="15" t="inlineStr">
        <x:is>
          <x:t xml:space="preserve"/>
        </x:is>
      </x:c>
      <x:c r="M25" s="15" t="inlineStr">
        <x:is>
          <x:t xml:space="preserve"/>
        </x:is>
      </x:c>
      <x:c r="N25" s="15" t="inlineStr">
        <x:is>
          <x:t xml:space="preserve"/>
        </x:is>
      </x:c>
      <x:c r="O25" s="15" t="inlineStr">
        <x:is>
          <x:t xml:space="preserve"/>
        </x:is>
      </x:c>
      <x:c r="P25" s="15" t="inlineStr">
        <x:is>
          <x:t xml:space="preserve"/>
        </x:is>
      </x:c>
      <x:c r="Q25" s="15" t="inlineStr">
        <x:is>
          <x:t xml:space="preserve"/>
        </x:is>
      </x:c>
      <x:c r="R25" s="15" t="inlineStr">
        <x:is>
          <x:t xml:space="preserve"/>
        </x:is>
      </x:c>
      <x:c r="S25" s="15" t="inlineStr">
        <x:is>
          <x:t xml:space="preserve"/>
        </x:is>
      </x:c>
      <x:c r="T25" s="15" t="inlineStr">
        <x:is>
          <x:t xml:space="preserve"/>
        </x:is>
      </x:c>
      <x:c r="U25" s="15" t="inlineStr">
        <x:is>
          <x:t xml:space="preserve"/>
        </x:is>
      </x:c>
      <x:c r="V25" s="15" t="inlineStr">
        <x:is>
          <x:t xml:space="preserve"/>
        </x:is>
      </x:c>
      <x:c r="W25" s="15" t="inlineStr">
        <x:is>
          <x:t xml:space="preserve"/>
        </x:is>
      </x:c>
      <x:c r="X25" s="15" t="inlineStr">
        <x:is>
          <x:t xml:space="preserve"/>
        </x:is>
      </x:c>
      <x:c r="Y25" s="15" t="inlineStr">
        <x:is>
          <x:t xml:space="preserve"/>
        </x:is>
      </x:c>
      <x:c r="Z25" s="15" t="inlineStr">
        <x:is>
          <x:t xml:space="preserve"/>
        </x:is>
      </x:c>
      <x:c r="AA25" s="15" t="inlineStr">
        <x:is>
          <x:t xml:space="preserve"/>
        </x:is>
      </x:c>
      <x:c r="AB25" s="15" t="inlineStr">
        <x:is>
          <x:t xml:space="preserve"/>
        </x:is>
      </x:c>
      <x:c r="AC25" s="15" t="inlineStr">
        <x:is>
          <x:t xml:space="preserve"/>
        </x:is>
      </x:c>
      <x:c r="AD25" s="15" t="inlineStr">
        <x:is>
          <x:t xml:space="preserve"/>
        </x:is>
      </x:c>
    </x:row>
    <x:row r="26" ht="18" customHeight="1">
      <x:c r="A26" s="15" t="inlineStr">
        <x:is>
          <x:t xml:space="preserve">IMP-61</x:t>
        </x:is>
      </x:c>
      <x:c r="B26" s="9">
        <x:f>INDEX(Master!$F$4:$F$141,MATCH($A26,Master!$A$4:$A$141,0))</x:f>
        <x:v>42</x:v>
      </x:c>
      <x:c r="C26" s="15">
        <x:f>INDEX(Master!$B$4:$B$141,MATCH($A26,Master!$A$4:$A$141,0))</x:f>
        <x:v>42</x:v>
      </x:c>
      <x:c r="D26" s="9">
        <x:f>INDEX(Master!$C$4:$C$141,MATCH($A26,Master!$A$4:$A$141,0))</x:f>
        <x:v>42</x:v>
      </x:c>
      <x:c r="E26" s="15">
        <x:f>INDEX(Master!$O$4:$O$141,MATCH($A26,Master!$A$4:$A$141,0))</x:f>
        <x:v>42</x:v>
      </x:c>
      <x:c r="F26" s="34">
        <x:f>INDEX(Master!$P$4:$P$141,MATCH($A26,Master!$A$4:$A$141,0))</x:f>
        <x:v>42</x:v>
      </x:c>
      <x:c r="G26" s="15" t="inlineStr">
        <x:is>
          <x:t xml:space="preserve"/>
        </x:is>
      </x:c>
      <x:c r="H26" s="15" t="inlineStr">
        <x:is>
          <x:t xml:space="preserve"/>
        </x:is>
      </x:c>
      <x:c r="I26" s="15" t="inlineStr">
        <x:is>
          <x:t xml:space="preserve"/>
        </x:is>
      </x:c>
      <x:c r="J26" s="15" t="inlineStr">
        <x:is>
          <x:t xml:space="preserve"/>
        </x:is>
      </x:c>
      <x:c r="K26" s="15" t="inlineStr">
        <x:is>
          <x:t xml:space="preserve"/>
        </x:is>
      </x:c>
      <x:c r="L26" s="15" t="inlineStr">
        <x:is>
          <x:t xml:space="preserve"/>
        </x:is>
      </x:c>
      <x:c r="M26" s="15" t="inlineStr">
        <x:is>
          <x:t xml:space="preserve"/>
        </x:is>
      </x:c>
      <x:c r="N26" s="15" t="inlineStr">
        <x:is>
          <x:t xml:space="preserve"/>
        </x:is>
      </x:c>
      <x:c r="O26" s="15" t="inlineStr">
        <x:is>
          <x:t xml:space="preserve"/>
        </x:is>
      </x:c>
      <x:c r="P26" s="15" t="inlineStr">
        <x:is>
          <x:t xml:space="preserve"/>
        </x:is>
      </x:c>
      <x:c r="Q26" s="15" t="inlineStr">
        <x:is>
          <x:t xml:space="preserve"/>
        </x:is>
      </x:c>
      <x:c r="R26" s="15" t="inlineStr">
        <x:is>
          <x:t xml:space="preserve"/>
        </x:is>
      </x:c>
      <x:c r="S26" s="15" t="inlineStr">
        <x:is>
          <x:t xml:space="preserve"/>
        </x:is>
      </x:c>
      <x:c r="T26" s="15" t="inlineStr">
        <x:is>
          <x:t xml:space="preserve"/>
        </x:is>
      </x:c>
      <x:c r="U26" s="15" t="inlineStr">
        <x:is>
          <x:t xml:space="preserve"/>
        </x:is>
      </x:c>
      <x:c r="V26" s="15" t="inlineStr">
        <x:is>
          <x:t xml:space="preserve"/>
        </x:is>
      </x:c>
      <x:c r="W26" s="15" t="inlineStr">
        <x:is>
          <x:t xml:space="preserve"/>
        </x:is>
      </x:c>
      <x:c r="X26" s="15" t="inlineStr">
        <x:is>
          <x:t xml:space="preserve"/>
        </x:is>
      </x:c>
      <x:c r="Y26" s="15" t="inlineStr">
        <x:is>
          <x:t xml:space="preserve"/>
        </x:is>
      </x:c>
      <x:c r="Z26" s="15" t="inlineStr">
        <x:is>
          <x:t xml:space="preserve"/>
        </x:is>
      </x:c>
      <x:c r="AA26" s="15" t="inlineStr">
        <x:is>
          <x:t xml:space="preserve"/>
        </x:is>
      </x:c>
      <x:c r="AB26" s="15" t="inlineStr">
        <x:is>
          <x:t xml:space="preserve"/>
        </x:is>
      </x:c>
      <x:c r="AC26" s="15" t="inlineStr">
        <x:is>
          <x:t xml:space="preserve"/>
        </x:is>
      </x:c>
      <x:c r="AD26" s="15" t="inlineStr">
        <x:is>
          <x:t xml:space="preserve"/>
        </x:is>
      </x:c>
    </x:row>
    <x:row r="27" ht="18" customHeight="1">
      <x:c r="A27" s="15" t="inlineStr">
        <x:is>
          <x:t xml:space="preserve">IMP-34</x:t>
        </x:is>
      </x:c>
      <x:c r="B27" s="9" t="str">
        <x:f>INDEX(Master!$F$4:$F$141,MATCH($A27,Master!$A$4:$A$141,0))</x:f>
        <x:v>Implement UC permission templates (by classification/tier)</x:v>
      </x:c>
      <x:c r="C27" s="15" t="str">
        <x:f>INDEX(Master!$B$4:$B$141,MATCH($A27,Master!$A$4:$A$141,0))</x:f>
        <x:v>Implementation</x:v>
      </x:c>
      <x:c r="D27" s="9" t="str">
        <x:f>INDEX(Master!$C$4:$C$141,MATCH($A27,Master!$A$4:$A$141,0))</x:f>
        <x:v>Governance</x:v>
      </x:c>
      <x:c r="E27" s="15" t="str">
        <x:f>INDEX(Master!$O$4:$O$141,MATCH($A27,Master!$A$4:$A$141,0))</x:f>
        <x:v>7</x:v>
      </x:c>
      <x:c r="F27" s="34" t="str">
        <x:f>INDEX(Master!$P$4:$P$141,MATCH($A27,Master!$A$4:$A$141,0))</x:f>
        <x:v>7</x:v>
      </x:c>
      <x:c r="G27" s="15" t="inlineStr">
        <x:is>
          <x:t xml:space="preserve"/>
        </x:is>
      </x:c>
      <x:c r="H27" s="15" t="inlineStr">
        <x:is>
          <x:t xml:space="preserve"/>
        </x:is>
      </x:c>
      <x:c r="I27" s="15" t="inlineStr">
        <x:is>
          <x:t xml:space="preserve"/>
        </x:is>
      </x:c>
      <x:c r="J27" s="15" t="inlineStr">
        <x:is>
          <x:t xml:space="preserve"/>
        </x:is>
      </x:c>
      <x:c r="K27" s="15" t="inlineStr">
        <x:is>
          <x:t xml:space="preserve"/>
        </x:is>
      </x:c>
      <x:c r="L27" s="15" t="inlineStr">
        <x:is>
          <x:t xml:space="preserve"/>
        </x:is>
      </x:c>
      <x:c r="M27" s="15" t="inlineStr">
        <x:is>
          <x:t xml:space="preserve"/>
        </x:is>
      </x:c>
      <x:c r="N27" s="15" t="inlineStr">
        <x:is>
          <x:t xml:space="preserve"/>
        </x:is>
      </x:c>
      <x:c r="O27" s="15" t="inlineStr">
        <x:is>
          <x:t xml:space="preserve"/>
        </x:is>
      </x:c>
      <x:c r="P27" s="15" t="inlineStr">
        <x:is>
          <x:t xml:space="preserve"/>
        </x:is>
      </x:c>
      <x:c r="Q27" s="15" t="inlineStr">
        <x:is>
          <x:t xml:space="preserve"/>
        </x:is>
      </x:c>
      <x:c r="R27" s="15" t="inlineStr">
        <x:is>
          <x:t xml:space="preserve"/>
        </x:is>
      </x:c>
      <x:c r="S27" s="15" t="inlineStr">
        <x:is>
          <x:t xml:space="preserve"/>
        </x:is>
      </x:c>
      <x:c r="T27" s="15" t="inlineStr">
        <x:is>
          <x:t xml:space="preserve"/>
        </x:is>
      </x:c>
      <x:c r="U27" s="15" t="inlineStr">
        <x:is>
          <x:t xml:space="preserve"/>
        </x:is>
      </x:c>
      <x:c r="V27" s="15" t="inlineStr">
        <x:is>
          <x:t xml:space="preserve"/>
        </x:is>
      </x:c>
      <x:c r="W27" s="15" t="inlineStr">
        <x:is>
          <x:t xml:space="preserve"/>
        </x:is>
      </x:c>
      <x:c r="X27" s="15" t="inlineStr">
        <x:is>
          <x:t xml:space="preserve"/>
        </x:is>
      </x:c>
      <x:c r="Y27" s="15" t="inlineStr">
        <x:is>
          <x:t xml:space="preserve"/>
        </x:is>
      </x:c>
      <x:c r="Z27" s="15" t="inlineStr">
        <x:is>
          <x:t xml:space="preserve"/>
        </x:is>
      </x:c>
      <x:c r="AA27" s="15" t="inlineStr">
        <x:is>
          <x:t xml:space="preserve"/>
        </x:is>
      </x:c>
      <x:c r="AB27" s="15" t="inlineStr">
        <x:is>
          <x:t xml:space="preserve"/>
        </x:is>
      </x:c>
      <x:c r="AC27" s="15" t="inlineStr">
        <x:is>
          <x:t xml:space="preserve"/>
        </x:is>
      </x:c>
      <x:c r="AD27" s="15" t="inlineStr">
        <x:is>
          <x:t xml:space="preserve"/>
        </x:is>
      </x:c>
    </x:row>
    <x:row r="28" ht="18" customHeight="1">
      <x:c r="A28" s="15" t="inlineStr">
        <x:is>
          <x:t xml:space="preserve">IMP-23</x:t>
        </x:is>
      </x:c>
      <x:c r="B28" s="9">
        <x:f>INDEX(Master!$F$4:$F$141,MATCH($A28,Master!$A$4:$A$141,0))</x:f>
        <x:v>42</x:v>
      </x:c>
      <x:c r="C28" s="15">
        <x:f>INDEX(Master!$B$4:$B$141,MATCH($A28,Master!$A$4:$A$141,0))</x:f>
        <x:v>42</x:v>
      </x:c>
      <x:c r="D28" s="9">
        <x:f>INDEX(Master!$C$4:$C$141,MATCH($A28,Master!$A$4:$A$141,0))</x:f>
        <x:v>42</x:v>
      </x:c>
      <x:c r="E28" s="15">
        <x:f>INDEX(Master!$O$4:$O$141,MATCH($A28,Master!$A$4:$A$141,0))</x:f>
        <x:v>42</x:v>
      </x:c>
      <x:c r="F28" s="34">
        <x:f>INDEX(Master!$P$4:$P$141,MATCH($A28,Master!$A$4:$A$141,0))</x:f>
        <x:v>42</x:v>
      </x:c>
      <x:c r="G28" s="15" t="inlineStr">
        <x:is>
          <x:t xml:space="preserve"/>
        </x:is>
      </x:c>
      <x:c r="H28" s="15" t="inlineStr">
        <x:is>
          <x:t xml:space="preserve"/>
        </x:is>
      </x:c>
      <x:c r="I28" s="15" t="inlineStr">
        <x:is>
          <x:t xml:space="preserve"/>
        </x:is>
      </x:c>
      <x:c r="J28" s="15" t="inlineStr">
        <x:is>
          <x:t xml:space="preserve"/>
        </x:is>
      </x:c>
      <x:c r="K28" s="15" t="inlineStr">
        <x:is>
          <x:t xml:space="preserve"/>
        </x:is>
      </x:c>
      <x:c r="L28" s="15" t="inlineStr">
        <x:is>
          <x:t xml:space="preserve"/>
        </x:is>
      </x:c>
      <x:c r="M28" s="15" t="inlineStr">
        <x:is>
          <x:t xml:space="preserve"/>
        </x:is>
      </x:c>
      <x:c r="N28" s="15" t="inlineStr">
        <x:is>
          <x:t xml:space="preserve"/>
        </x:is>
      </x:c>
      <x:c r="O28" s="15" t="inlineStr">
        <x:is>
          <x:t xml:space="preserve"/>
        </x:is>
      </x:c>
      <x:c r="P28" s="15" t="inlineStr">
        <x:is>
          <x:t xml:space="preserve"/>
        </x:is>
      </x:c>
      <x:c r="Q28" s="15" t="inlineStr">
        <x:is>
          <x:t xml:space="preserve"/>
        </x:is>
      </x:c>
      <x:c r="R28" s="15" t="inlineStr">
        <x:is>
          <x:t xml:space="preserve"/>
        </x:is>
      </x:c>
      <x:c r="S28" s="15" t="inlineStr">
        <x:is>
          <x:t xml:space="preserve"/>
        </x:is>
      </x:c>
      <x:c r="T28" s="15" t="inlineStr">
        <x:is>
          <x:t xml:space="preserve"/>
        </x:is>
      </x:c>
      <x:c r="U28" s="15" t="inlineStr">
        <x:is>
          <x:t xml:space="preserve"/>
        </x:is>
      </x:c>
      <x:c r="V28" s="15" t="inlineStr">
        <x:is>
          <x:t xml:space="preserve"/>
        </x:is>
      </x:c>
      <x:c r="W28" s="15" t="inlineStr">
        <x:is>
          <x:t xml:space="preserve"/>
        </x:is>
      </x:c>
      <x:c r="X28" s="15" t="inlineStr">
        <x:is>
          <x:t xml:space="preserve"/>
        </x:is>
      </x:c>
      <x:c r="Y28" s="15" t="inlineStr">
        <x:is>
          <x:t xml:space="preserve"/>
        </x:is>
      </x:c>
      <x:c r="Z28" s="15" t="inlineStr">
        <x:is>
          <x:t xml:space="preserve"/>
        </x:is>
      </x:c>
      <x:c r="AA28" s="15" t="inlineStr">
        <x:is>
          <x:t xml:space="preserve"/>
        </x:is>
      </x:c>
      <x:c r="AB28" s="15" t="inlineStr">
        <x:is>
          <x:t xml:space="preserve"/>
        </x:is>
      </x:c>
      <x:c r="AC28" s="15" t="inlineStr">
        <x:is>
          <x:t xml:space="preserve"/>
        </x:is>
      </x:c>
      <x:c r="AD28" s="15" t="inlineStr">
        <x:is>
          <x:t xml:space="preserve"/>
        </x:is>
      </x:c>
    </x:row>
    <x:row r="29" ht="18" customHeight="1">
      <x:c r="A29" s="15" t="inlineStr">
        <x:is>
          <x:t xml:space="preserve">IMP-33</x:t>
        </x:is>
      </x:c>
      <x:c r="B29" s="9" t="str">
        <x:f>INDEX(Master!$F$4:$F$141,MATCH($A29,Master!$A$4:$A$141,0))</x:f>
        <x:v>Publish Policies &amp; Processes set (approved)</x:v>
      </x:c>
      <x:c r="C29" s="15" t="str">
        <x:f>INDEX(Master!$B$4:$B$141,MATCH($A29,Master!$A$4:$A$141,0))</x:f>
        <x:v>Implementation</x:v>
      </x:c>
      <x:c r="D29" s="9" t="str">
        <x:f>INDEX(Master!$C$4:$C$141,MATCH($A29,Master!$A$4:$A$141,0))</x:f>
        <x:v>Governance</x:v>
      </x:c>
      <x:c r="E29" s="15" t="str">
        <x:f>INDEX(Master!$O$4:$O$141,MATCH($A29,Master!$A$4:$A$141,0))</x:f>
        <x:v>8</x:v>
      </x:c>
      <x:c r="F29" s="34" t="str">
        <x:f>INDEX(Master!$P$4:$P$141,MATCH($A29,Master!$A$4:$A$141,0))</x:f>
        <x:v>9</x:v>
      </x:c>
      <x:c r="G29" s="15" t="inlineStr">
        <x:is>
          <x:t xml:space="preserve"/>
        </x:is>
      </x:c>
      <x:c r="H29" s="15" t="inlineStr">
        <x:is>
          <x:t xml:space="preserve"/>
        </x:is>
      </x:c>
      <x:c r="I29" s="15" t="inlineStr">
        <x:is>
          <x:t xml:space="preserve"/>
        </x:is>
      </x:c>
      <x:c r="J29" s="15" t="inlineStr">
        <x:is>
          <x:t xml:space="preserve"/>
        </x:is>
      </x:c>
      <x:c r="K29" s="15" t="inlineStr">
        <x:is>
          <x:t xml:space="preserve"/>
        </x:is>
      </x:c>
      <x:c r="L29" s="15" t="inlineStr">
        <x:is>
          <x:t xml:space="preserve"/>
        </x:is>
      </x:c>
      <x:c r="M29" s="15" t="inlineStr">
        <x:is>
          <x:t xml:space="preserve"/>
        </x:is>
      </x:c>
      <x:c r="N29" s="15" t="inlineStr">
        <x:is>
          <x:t xml:space="preserve"/>
        </x:is>
      </x:c>
      <x:c r="O29" s="15" t="inlineStr">
        <x:is>
          <x:t xml:space="preserve"/>
        </x:is>
      </x:c>
      <x:c r="P29" s="15" t="inlineStr">
        <x:is>
          <x:t xml:space="preserve"/>
        </x:is>
      </x:c>
      <x:c r="Q29" s="15" t="inlineStr">
        <x:is>
          <x:t xml:space="preserve"/>
        </x:is>
      </x:c>
      <x:c r="R29" s="15" t="inlineStr">
        <x:is>
          <x:t xml:space="preserve"/>
        </x:is>
      </x:c>
      <x:c r="S29" s="15" t="inlineStr">
        <x:is>
          <x:t xml:space="preserve"/>
        </x:is>
      </x:c>
      <x:c r="T29" s="15" t="inlineStr">
        <x:is>
          <x:t xml:space="preserve"/>
        </x:is>
      </x:c>
      <x:c r="U29" s="15" t="inlineStr">
        <x:is>
          <x:t xml:space="preserve"/>
        </x:is>
      </x:c>
      <x:c r="V29" s="15" t="inlineStr">
        <x:is>
          <x:t xml:space="preserve"/>
        </x:is>
      </x:c>
      <x:c r="W29" s="15" t="inlineStr">
        <x:is>
          <x:t xml:space="preserve"/>
        </x:is>
      </x:c>
      <x:c r="X29" s="15" t="inlineStr">
        <x:is>
          <x:t xml:space="preserve"/>
        </x:is>
      </x:c>
      <x:c r="Y29" s="15" t="inlineStr">
        <x:is>
          <x:t xml:space="preserve"/>
        </x:is>
      </x:c>
      <x:c r="Z29" s="15" t="inlineStr">
        <x:is>
          <x:t xml:space="preserve"/>
        </x:is>
      </x:c>
      <x:c r="AA29" s="15" t="inlineStr">
        <x:is>
          <x:t xml:space="preserve"/>
        </x:is>
      </x:c>
      <x:c r="AB29" s="15" t="inlineStr">
        <x:is>
          <x:t xml:space="preserve"/>
        </x:is>
      </x:c>
      <x:c r="AC29" s="15" t="inlineStr">
        <x:is>
          <x:t xml:space="preserve"/>
        </x:is>
      </x:c>
      <x:c r="AD29" s="15" t="inlineStr">
        <x:is>
          <x:t xml:space="preserve"/>
        </x:is>
      </x:c>
    </x:row>
    <x:row r="30" ht="18" customHeight="1">
      <x:c r="A30" s="15" t="inlineStr">
        <x:is>
          <x:t xml:space="preserve">IMP-36</x:t>
        </x:is>
      </x:c>
      <x:c r="B30" s="9">
        <x:f>INDEX(Master!$F$4:$F$141,MATCH($A30,Master!$A$4:$A$141,0))</x:f>
        <x:v>42</x:v>
      </x:c>
      <x:c r="C30" s="15">
        <x:f>INDEX(Master!$B$4:$B$141,MATCH($A30,Master!$A$4:$A$141,0))</x:f>
        <x:v>42</x:v>
      </x:c>
      <x:c r="D30" s="9">
        <x:f>INDEX(Master!$C$4:$C$141,MATCH($A30,Master!$A$4:$A$141,0))</x:f>
        <x:v>42</x:v>
      </x:c>
      <x:c r="E30" s="15">
        <x:f>INDEX(Master!$O$4:$O$141,MATCH($A30,Master!$A$4:$A$141,0))</x:f>
        <x:v>42</x:v>
      </x:c>
      <x:c r="F30" s="34">
        <x:f>INDEX(Master!$P$4:$P$141,MATCH($A30,Master!$A$4:$A$141,0))</x:f>
        <x:v>42</x:v>
      </x:c>
      <x:c r="G30" s="15" t="inlineStr">
        <x:is>
          <x:t xml:space="preserve"/>
        </x:is>
      </x:c>
      <x:c r="H30" s="15" t="inlineStr">
        <x:is>
          <x:t xml:space="preserve"/>
        </x:is>
      </x:c>
      <x:c r="I30" s="15" t="inlineStr">
        <x:is>
          <x:t xml:space="preserve"/>
        </x:is>
      </x:c>
      <x:c r="J30" s="15" t="inlineStr">
        <x:is>
          <x:t xml:space="preserve"/>
        </x:is>
      </x:c>
      <x:c r="K30" s="15" t="inlineStr">
        <x:is>
          <x:t xml:space="preserve"/>
        </x:is>
      </x:c>
      <x:c r="L30" s="15" t="inlineStr">
        <x:is>
          <x:t xml:space="preserve"/>
        </x:is>
      </x:c>
      <x:c r="M30" s="15" t="inlineStr">
        <x:is>
          <x:t xml:space="preserve"/>
        </x:is>
      </x:c>
      <x:c r="N30" s="15" t="inlineStr">
        <x:is>
          <x:t xml:space="preserve"/>
        </x:is>
      </x:c>
      <x:c r="O30" s="15" t="inlineStr">
        <x:is>
          <x:t xml:space="preserve"/>
        </x:is>
      </x:c>
      <x:c r="P30" s="15" t="inlineStr">
        <x:is>
          <x:t xml:space="preserve"/>
        </x:is>
      </x:c>
      <x:c r="Q30" s="15" t="inlineStr">
        <x:is>
          <x:t xml:space="preserve"/>
        </x:is>
      </x:c>
      <x:c r="R30" s="15" t="inlineStr">
        <x:is>
          <x:t xml:space="preserve"/>
        </x:is>
      </x:c>
      <x:c r="S30" s="15" t="inlineStr">
        <x:is>
          <x:t xml:space="preserve"/>
        </x:is>
      </x:c>
      <x:c r="T30" s="15" t="inlineStr">
        <x:is>
          <x:t xml:space="preserve"/>
        </x:is>
      </x:c>
      <x:c r="U30" s="15" t="inlineStr">
        <x:is>
          <x:t xml:space="preserve"/>
        </x:is>
      </x:c>
      <x:c r="V30" s="15" t="inlineStr">
        <x:is>
          <x:t xml:space="preserve"/>
        </x:is>
      </x:c>
      <x:c r="W30" s="15" t="inlineStr">
        <x:is>
          <x:t xml:space="preserve"/>
        </x:is>
      </x:c>
      <x:c r="X30" s="15" t="inlineStr">
        <x:is>
          <x:t xml:space="preserve"/>
        </x:is>
      </x:c>
      <x:c r="Y30" s="15" t="inlineStr">
        <x:is>
          <x:t xml:space="preserve"/>
        </x:is>
      </x:c>
      <x:c r="Z30" s="15" t="inlineStr">
        <x:is>
          <x:t xml:space="preserve"/>
        </x:is>
      </x:c>
      <x:c r="AA30" s="15" t="inlineStr">
        <x:is>
          <x:t xml:space="preserve"/>
        </x:is>
      </x:c>
      <x:c r="AB30" s="15" t="inlineStr">
        <x:is>
          <x:t xml:space="preserve"/>
        </x:is>
      </x:c>
      <x:c r="AC30" s="15" t="inlineStr">
        <x:is>
          <x:t xml:space="preserve"/>
        </x:is>
      </x:c>
      <x:c r="AD30" s="15" t="inlineStr">
        <x:is>
          <x:t xml:space="preserve"/>
        </x:is>
      </x:c>
    </x:row>
    <x:row r="31" ht="18" customHeight="1">
      <x:c r="A31" s="15" t="inlineStr">
        <x:is>
          <x:t xml:space="preserve">IMP-25</x:t>
        </x:is>
      </x:c>
      <x:c r="B31" s="9">
        <x:f>INDEX(Master!$F$4:$F$141,MATCH($A31,Master!$A$4:$A$141,0))</x:f>
        <x:v>42</x:v>
      </x:c>
      <x:c r="C31" s="15">
        <x:f>INDEX(Master!$B$4:$B$141,MATCH($A31,Master!$A$4:$A$141,0))</x:f>
        <x:v>42</x:v>
      </x:c>
      <x:c r="D31" s="9">
        <x:f>INDEX(Master!$C$4:$C$141,MATCH($A31,Master!$A$4:$A$141,0))</x:f>
        <x:v>42</x:v>
      </x:c>
      <x:c r="E31" s="15">
        <x:f>INDEX(Master!$O$4:$O$141,MATCH($A31,Master!$A$4:$A$141,0))</x:f>
        <x:v>42</x:v>
      </x:c>
      <x:c r="F31" s="34">
        <x:f>INDEX(Master!$P$4:$P$141,MATCH($A31,Master!$A$4:$A$141,0))</x:f>
        <x:v>42</x:v>
      </x:c>
      <x:c r="G31" s="15" t="inlineStr">
        <x:is>
          <x:t xml:space="preserve"/>
        </x:is>
      </x:c>
      <x:c r="H31" s="15" t="inlineStr">
        <x:is>
          <x:t xml:space="preserve"/>
        </x:is>
      </x:c>
      <x:c r="I31" s="15" t="inlineStr">
        <x:is>
          <x:t xml:space="preserve"/>
        </x:is>
      </x:c>
      <x:c r="J31" s="15" t="inlineStr">
        <x:is>
          <x:t xml:space="preserve"/>
        </x:is>
      </x:c>
      <x:c r="K31" s="15" t="inlineStr">
        <x:is>
          <x:t xml:space="preserve"/>
        </x:is>
      </x:c>
      <x:c r="L31" s="15" t="inlineStr">
        <x:is>
          <x:t xml:space="preserve"/>
        </x:is>
      </x:c>
      <x:c r="M31" s="15" t="inlineStr">
        <x:is>
          <x:t xml:space="preserve"/>
        </x:is>
      </x:c>
      <x:c r="N31" s="15" t="inlineStr">
        <x:is>
          <x:t xml:space="preserve"/>
        </x:is>
      </x:c>
      <x:c r="O31" s="15" t="inlineStr">
        <x:is>
          <x:t xml:space="preserve"/>
        </x:is>
      </x:c>
      <x:c r="P31" s="15" t="inlineStr">
        <x:is>
          <x:t xml:space="preserve"/>
        </x:is>
      </x:c>
      <x:c r="Q31" s="15" t="inlineStr">
        <x:is>
          <x:t xml:space="preserve"/>
        </x:is>
      </x:c>
      <x:c r="R31" s="15" t="inlineStr">
        <x:is>
          <x:t xml:space="preserve"/>
        </x:is>
      </x:c>
      <x:c r="S31" s="15" t="inlineStr">
        <x:is>
          <x:t xml:space="preserve"/>
        </x:is>
      </x:c>
      <x:c r="T31" s="15" t="inlineStr">
        <x:is>
          <x:t xml:space="preserve"/>
        </x:is>
      </x:c>
      <x:c r="U31" s="15" t="inlineStr">
        <x:is>
          <x:t xml:space="preserve"/>
        </x:is>
      </x:c>
      <x:c r="V31" s="15" t="inlineStr">
        <x:is>
          <x:t xml:space="preserve"/>
        </x:is>
      </x:c>
      <x:c r="W31" s="15" t="inlineStr">
        <x:is>
          <x:t xml:space="preserve"/>
        </x:is>
      </x:c>
      <x:c r="X31" s="15" t="inlineStr">
        <x:is>
          <x:t xml:space="preserve"/>
        </x:is>
      </x:c>
      <x:c r="Y31" s="15" t="inlineStr">
        <x:is>
          <x:t xml:space="preserve"/>
        </x:is>
      </x:c>
      <x:c r="Z31" s="15" t="inlineStr">
        <x:is>
          <x:t xml:space="preserve"/>
        </x:is>
      </x:c>
      <x:c r="AA31" s="15" t="inlineStr">
        <x:is>
          <x:t xml:space="preserve"/>
        </x:is>
      </x:c>
      <x:c r="AB31" s="15" t="inlineStr">
        <x:is>
          <x:t xml:space="preserve"/>
        </x:is>
      </x:c>
      <x:c r="AC31" s="15" t="inlineStr">
        <x:is>
          <x:t xml:space="preserve"/>
        </x:is>
      </x:c>
      <x:c r="AD31" s="15" t="inlineStr">
        <x:is>
          <x:t xml:space="preserve"/>
        </x:is>
      </x:c>
    </x:row>
    <x:row r="32" ht="18" customHeight="1">
      <x:c r="A32" s="15" t="inlineStr">
        <x:is>
          <x:t xml:space="preserve">IMP-40</x:t>
        </x:is>
      </x:c>
      <x:c r="B32" s="9">
        <x:f>INDEX(Master!$F$4:$F$141,MATCH($A32,Master!$A$4:$A$141,0))</x:f>
        <x:v>42</x:v>
      </x:c>
      <x:c r="C32" s="15">
        <x:f>INDEX(Master!$B$4:$B$141,MATCH($A32,Master!$A$4:$A$141,0))</x:f>
        <x:v>42</x:v>
      </x:c>
      <x:c r="D32" s="9">
        <x:f>INDEX(Master!$C$4:$C$141,MATCH($A32,Master!$A$4:$A$141,0))</x:f>
        <x:v>42</x:v>
      </x:c>
      <x:c r="E32" s="15">
        <x:f>INDEX(Master!$O$4:$O$141,MATCH($A32,Master!$A$4:$A$141,0))</x:f>
        <x:v>42</x:v>
      </x:c>
      <x:c r="F32" s="34">
        <x:f>INDEX(Master!$P$4:$P$141,MATCH($A32,Master!$A$4:$A$141,0))</x:f>
        <x:v>42</x:v>
      </x:c>
      <x:c r="G32" s="15" t="inlineStr">
        <x:is>
          <x:t xml:space="preserve"/>
        </x:is>
      </x:c>
      <x:c r="H32" s="15" t="inlineStr">
        <x:is>
          <x:t xml:space="preserve"/>
        </x:is>
      </x:c>
      <x:c r="I32" s="15" t="inlineStr">
        <x:is>
          <x:t xml:space="preserve"/>
        </x:is>
      </x:c>
      <x:c r="J32" s="15" t="inlineStr">
        <x:is>
          <x:t xml:space="preserve"/>
        </x:is>
      </x:c>
      <x:c r="K32" s="15" t="inlineStr">
        <x:is>
          <x:t xml:space="preserve"/>
        </x:is>
      </x:c>
      <x:c r="L32" s="15" t="inlineStr">
        <x:is>
          <x:t xml:space="preserve"/>
        </x:is>
      </x:c>
      <x:c r="M32" s="15" t="inlineStr">
        <x:is>
          <x:t xml:space="preserve"/>
        </x:is>
      </x:c>
      <x:c r="N32" s="15" t="inlineStr">
        <x:is>
          <x:t xml:space="preserve"/>
        </x:is>
      </x:c>
      <x:c r="O32" s="15" t="inlineStr">
        <x:is>
          <x:t xml:space="preserve"/>
        </x:is>
      </x:c>
      <x:c r="P32" s="15" t="inlineStr">
        <x:is>
          <x:t xml:space="preserve"/>
        </x:is>
      </x:c>
      <x:c r="Q32" s="15" t="inlineStr">
        <x:is>
          <x:t xml:space="preserve"/>
        </x:is>
      </x:c>
      <x:c r="R32" s="15" t="inlineStr">
        <x:is>
          <x:t xml:space="preserve"/>
        </x:is>
      </x:c>
      <x:c r="S32" s="15" t="inlineStr">
        <x:is>
          <x:t xml:space="preserve"/>
        </x:is>
      </x:c>
      <x:c r="T32" s="15" t="inlineStr">
        <x:is>
          <x:t xml:space="preserve"/>
        </x:is>
      </x:c>
      <x:c r="U32" s="15" t="inlineStr">
        <x:is>
          <x:t xml:space="preserve"/>
        </x:is>
      </x:c>
      <x:c r="V32" s="15" t="inlineStr">
        <x:is>
          <x:t xml:space="preserve"/>
        </x:is>
      </x:c>
      <x:c r="W32" s="15" t="inlineStr">
        <x:is>
          <x:t xml:space="preserve"/>
        </x:is>
      </x:c>
      <x:c r="X32" s="15" t="inlineStr">
        <x:is>
          <x:t xml:space="preserve"/>
        </x:is>
      </x:c>
      <x:c r="Y32" s="15" t="inlineStr">
        <x:is>
          <x:t xml:space="preserve"/>
        </x:is>
      </x:c>
      <x:c r="Z32" s="15" t="inlineStr">
        <x:is>
          <x:t xml:space="preserve"/>
        </x:is>
      </x:c>
      <x:c r="AA32" s="15" t="inlineStr">
        <x:is>
          <x:t xml:space="preserve"/>
        </x:is>
      </x:c>
      <x:c r="AB32" s="15" t="inlineStr">
        <x:is>
          <x:t xml:space="preserve"/>
        </x:is>
      </x:c>
      <x:c r="AC32" s="15" t="inlineStr">
        <x:is>
          <x:t xml:space="preserve"/>
        </x:is>
      </x:c>
      <x:c r="AD32" s="15" t="inlineStr">
        <x:is>
          <x:t xml:space="preserve"/>
        </x:is>
      </x:c>
    </x:row>
    <x:row r="33" ht="18" customHeight="1">
      <x:c r="A33" s="15" t="inlineStr">
        <x:is>
          <x:t xml:space="preserve">IMP-49</x:t>
        </x:is>
      </x:c>
      <x:c r="B33" s="9">
        <x:f>INDEX(Master!$F$4:$F$141,MATCH($A33,Master!$A$4:$A$141,0))</x:f>
        <x:v>42</x:v>
      </x:c>
      <x:c r="C33" s="15">
        <x:f>INDEX(Master!$B$4:$B$141,MATCH($A33,Master!$A$4:$A$141,0))</x:f>
        <x:v>42</x:v>
      </x:c>
      <x:c r="D33" s="9">
        <x:f>INDEX(Master!$C$4:$C$141,MATCH($A33,Master!$A$4:$A$141,0))</x:f>
        <x:v>42</x:v>
      </x:c>
      <x:c r="E33" s="15">
        <x:f>INDEX(Master!$O$4:$O$141,MATCH($A33,Master!$A$4:$A$141,0))</x:f>
        <x:v>42</x:v>
      </x:c>
      <x:c r="F33" s="34">
        <x:f>INDEX(Master!$P$4:$P$141,MATCH($A33,Master!$A$4:$A$141,0))</x:f>
        <x:v>42</x:v>
      </x:c>
      <x:c r="G33" s="15" t="inlineStr">
        <x:is>
          <x:t xml:space="preserve"/>
        </x:is>
      </x:c>
      <x:c r="H33" s="15" t="inlineStr">
        <x:is>
          <x:t xml:space="preserve"/>
        </x:is>
      </x:c>
      <x:c r="I33" s="15" t="inlineStr">
        <x:is>
          <x:t xml:space="preserve"/>
        </x:is>
      </x:c>
      <x:c r="J33" s="15" t="inlineStr">
        <x:is>
          <x:t xml:space="preserve"/>
        </x:is>
      </x:c>
      <x:c r="K33" s="15" t="inlineStr">
        <x:is>
          <x:t xml:space="preserve"/>
        </x:is>
      </x:c>
      <x:c r="L33" s="15" t="inlineStr">
        <x:is>
          <x:t xml:space="preserve"/>
        </x:is>
      </x:c>
      <x:c r="M33" s="15" t="inlineStr">
        <x:is>
          <x:t xml:space="preserve"/>
        </x:is>
      </x:c>
      <x:c r="N33" s="15" t="inlineStr">
        <x:is>
          <x:t xml:space="preserve"/>
        </x:is>
      </x:c>
      <x:c r="O33" s="15" t="inlineStr">
        <x:is>
          <x:t xml:space="preserve"/>
        </x:is>
      </x:c>
      <x:c r="P33" s="15" t="inlineStr">
        <x:is>
          <x:t xml:space="preserve"/>
        </x:is>
      </x:c>
      <x:c r="Q33" s="15" t="inlineStr">
        <x:is>
          <x:t xml:space="preserve"/>
        </x:is>
      </x:c>
      <x:c r="R33" s="15" t="inlineStr">
        <x:is>
          <x:t xml:space="preserve"/>
        </x:is>
      </x:c>
      <x:c r="S33" s="15" t="inlineStr">
        <x:is>
          <x:t xml:space="preserve"/>
        </x:is>
      </x:c>
      <x:c r="T33" s="15" t="inlineStr">
        <x:is>
          <x:t xml:space="preserve"/>
        </x:is>
      </x:c>
      <x:c r="U33" s="15" t="inlineStr">
        <x:is>
          <x:t xml:space="preserve"/>
        </x:is>
      </x:c>
      <x:c r="V33" s="15" t="inlineStr">
        <x:is>
          <x:t xml:space="preserve"/>
        </x:is>
      </x:c>
      <x:c r="W33" s="15" t="inlineStr">
        <x:is>
          <x:t xml:space="preserve"/>
        </x:is>
      </x:c>
      <x:c r="X33" s="15" t="inlineStr">
        <x:is>
          <x:t xml:space="preserve"/>
        </x:is>
      </x:c>
      <x:c r="Y33" s="15" t="inlineStr">
        <x:is>
          <x:t xml:space="preserve"/>
        </x:is>
      </x:c>
      <x:c r="Z33" s="15" t="inlineStr">
        <x:is>
          <x:t xml:space="preserve"/>
        </x:is>
      </x:c>
      <x:c r="AA33" s="15" t="inlineStr">
        <x:is>
          <x:t xml:space="preserve"/>
        </x:is>
      </x:c>
      <x:c r="AB33" s="15" t="inlineStr">
        <x:is>
          <x:t xml:space="preserve"/>
        </x:is>
      </x:c>
      <x:c r="AC33" s="15" t="inlineStr">
        <x:is>
          <x:t xml:space="preserve"/>
        </x:is>
      </x:c>
      <x:c r="AD33" s="15" t="inlineStr">
        <x:is>
          <x:t xml:space="preserve"/>
        </x:is>
      </x:c>
    </x:row>
    <x:row r="34" ht="18" customHeight="1">
      <x:c r="A34" s="15" t="inlineStr">
        <x:is>
          <x:t xml:space="preserve">IMP-51</x:t>
        </x:is>
      </x:c>
      <x:c r="B34" s="9">
        <x:f>INDEX(Master!$F$4:$F$141,MATCH($A34,Master!$A$4:$A$141,0))</x:f>
        <x:v>42</x:v>
      </x:c>
      <x:c r="C34" s="15">
        <x:f>INDEX(Master!$B$4:$B$141,MATCH($A34,Master!$A$4:$A$141,0))</x:f>
        <x:v>42</x:v>
      </x:c>
      <x:c r="D34" s="9">
        <x:f>INDEX(Master!$C$4:$C$141,MATCH($A34,Master!$A$4:$A$141,0))</x:f>
        <x:v>42</x:v>
      </x:c>
      <x:c r="E34" s="15">
        <x:f>INDEX(Master!$O$4:$O$141,MATCH($A34,Master!$A$4:$A$141,0))</x:f>
        <x:v>42</x:v>
      </x:c>
      <x:c r="F34" s="34">
        <x:f>INDEX(Master!$P$4:$P$141,MATCH($A34,Master!$A$4:$A$141,0))</x:f>
        <x:v>42</x:v>
      </x:c>
      <x:c r="G34" s="15" t="inlineStr">
        <x:is>
          <x:t xml:space="preserve"/>
        </x:is>
      </x:c>
      <x:c r="H34" s="15" t="inlineStr">
        <x:is>
          <x:t xml:space="preserve"/>
        </x:is>
      </x:c>
      <x:c r="I34" s="15" t="inlineStr">
        <x:is>
          <x:t xml:space="preserve"/>
        </x:is>
      </x:c>
      <x:c r="J34" s="15" t="inlineStr">
        <x:is>
          <x:t xml:space="preserve"/>
        </x:is>
      </x:c>
      <x:c r="K34" s="15" t="inlineStr">
        <x:is>
          <x:t xml:space="preserve"/>
        </x:is>
      </x:c>
      <x:c r="L34" s="15" t="inlineStr">
        <x:is>
          <x:t xml:space="preserve"/>
        </x:is>
      </x:c>
      <x:c r="M34" s="15" t="inlineStr">
        <x:is>
          <x:t xml:space="preserve"/>
        </x:is>
      </x:c>
      <x:c r="N34" s="15" t="inlineStr">
        <x:is>
          <x:t xml:space="preserve"/>
        </x:is>
      </x:c>
      <x:c r="O34" s="15" t="inlineStr">
        <x:is>
          <x:t xml:space="preserve"/>
        </x:is>
      </x:c>
      <x:c r="P34" s="15" t="inlineStr">
        <x:is>
          <x:t xml:space="preserve"/>
        </x:is>
      </x:c>
      <x:c r="Q34" s="15" t="inlineStr">
        <x:is>
          <x:t xml:space="preserve"/>
        </x:is>
      </x:c>
      <x:c r="R34" s="15" t="inlineStr">
        <x:is>
          <x:t xml:space="preserve"/>
        </x:is>
      </x:c>
      <x:c r="S34" s="15" t="inlineStr">
        <x:is>
          <x:t xml:space="preserve"/>
        </x:is>
      </x:c>
      <x:c r="T34" s="15" t="inlineStr">
        <x:is>
          <x:t xml:space="preserve"/>
        </x:is>
      </x:c>
      <x:c r="U34" s="15" t="inlineStr">
        <x:is>
          <x:t xml:space="preserve"/>
        </x:is>
      </x:c>
      <x:c r="V34" s="15" t="inlineStr">
        <x:is>
          <x:t xml:space="preserve"/>
        </x:is>
      </x:c>
      <x:c r="W34" s="15" t="inlineStr">
        <x:is>
          <x:t xml:space="preserve"/>
        </x:is>
      </x:c>
      <x:c r="X34" s="15" t="inlineStr">
        <x:is>
          <x:t xml:space="preserve"/>
        </x:is>
      </x:c>
      <x:c r="Y34" s="15" t="inlineStr">
        <x:is>
          <x:t xml:space="preserve"/>
        </x:is>
      </x:c>
      <x:c r="Z34" s="15" t="inlineStr">
        <x:is>
          <x:t xml:space="preserve"/>
        </x:is>
      </x:c>
      <x:c r="AA34" s="15" t="inlineStr">
        <x:is>
          <x:t xml:space="preserve"/>
        </x:is>
      </x:c>
      <x:c r="AB34" s="15" t="inlineStr">
        <x:is>
          <x:t xml:space="preserve"/>
        </x:is>
      </x:c>
      <x:c r="AC34" s="15" t="inlineStr">
        <x:is>
          <x:t xml:space="preserve"/>
        </x:is>
      </x:c>
      <x:c r="AD34" s="15" t="inlineStr">
        <x:is>
          <x:t xml:space="preserve"/>
        </x:is>
      </x:c>
    </x:row>
    <x:row r="35" ht="18" customHeight="1">
      <x:c r="A35" s="15" t="inlineStr">
        <x:is>
          <x:t xml:space="preserve">IMP-52</x:t>
        </x:is>
      </x:c>
      <x:c r="B35" s="9">
        <x:f>INDEX(Master!$F$4:$F$141,MATCH($A35,Master!$A$4:$A$141,0))</x:f>
        <x:v>42</x:v>
      </x:c>
      <x:c r="C35" s="15">
        <x:f>INDEX(Master!$B$4:$B$141,MATCH($A35,Master!$A$4:$A$141,0))</x:f>
        <x:v>42</x:v>
      </x:c>
      <x:c r="D35" s="9">
        <x:f>INDEX(Master!$C$4:$C$141,MATCH($A35,Master!$A$4:$A$141,0))</x:f>
        <x:v>42</x:v>
      </x:c>
      <x:c r="E35" s="15">
        <x:f>INDEX(Master!$O$4:$O$141,MATCH($A35,Master!$A$4:$A$141,0))</x:f>
        <x:v>42</x:v>
      </x:c>
      <x:c r="F35" s="34">
        <x:f>INDEX(Master!$P$4:$P$141,MATCH($A35,Master!$A$4:$A$141,0))</x:f>
        <x:v>42</x:v>
      </x:c>
      <x:c r="G35" s="15" t="inlineStr">
        <x:is>
          <x:t xml:space="preserve"/>
        </x:is>
      </x:c>
      <x:c r="H35" s="15" t="inlineStr">
        <x:is>
          <x:t xml:space="preserve"/>
        </x:is>
      </x:c>
      <x:c r="I35" s="15" t="inlineStr">
        <x:is>
          <x:t xml:space="preserve"/>
        </x:is>
      </x:c>
      <x:c r="J35" s="15" t="inlineStr">
        <x:is>
          <x:t xml:space="preserve"/>
        </x:is>
      </x:c>
      <x:c r="K35" s="15" t="inlineStr">
        <x:is>
          <x:t xml:space="preserve"/>
        </x:is>
      </x:c>
      <x:c r="L35" s="15" t="inlineStr">
        <x:is>
          <x:t xml:space="preserve"/>
        </x:is>
      </x:c>
      <x:c r="M35" s="15" t="inlineStr">
        <x:is>
          <x:t xml:space="preserve"/>
        </x:is>
      </x:c>
      <x:c r="N35" s="15" t="inlineStr">
        <x:is>
          <x:t xml:space="preserve"/>
        </x:is>
      </x:c>
      <x:c r="O35" s="15" t="inlineStr">
        <x:is>
          <x:t xml:space="preserve"/>
        </x:is>
      </x:c>
      <x:c r="P35" s="15" t="inlineStr">
        <x:is>
          <x:t xml:space="preserve"/>
        </x:is>
      </x:c>
      <x:c r="Q35" s="15" t="inlineStr">
        <x:is>
          <x:t xml:space="preserve"/>
        </x:is>
      </x:c>
      <x:c r="R35" s="15" t="inlineStr">
        <x:is>
          <x:t xml:space="preserve"/>
        </x:is>
      </x:c>
      <x:c r="S35" s="15" t="inlineStr">
        <x:is>
          <x:t xml:space="preserve"/>
        </x:is>
      </x:c>
      <x:c r="T35" s="15" t="inlineStr">
        <x:is>
          <x:t xml:space="preserve"/>
        </x:is>
      </x:c>
      <x:c r="U35" s="15" t="inlineStr">
        <x:is>
          <x:t xml:space="preserve"/>
        </x:is>
      </x:c>
      <x:c r="V35" s="15" t="inlineStr">
        <x:is>
          <x:t xml:space="preserve"/>
        </x:is>
      </x:c>
      <x:c r="W35" s="15" t="inlineStr">
        <x:is>
          <x:t xml:space="preserve"/>
        </x:is>
      </x:c>
      <x:c r="X35" s="15" t="inlineStr">
        <x:is>
          <x:t xml:space="preserve"/>
        </x:is>
      </x:c>
      <x:c r="Y35" s="15" t="inlineStr">
        <x:is>
          <x:t xml:space="preserve"/>
        </x:is>
      </x:c>
      <x:c r="Z35" s="15" t="inlineStr">
        <x:is>
          <x:t xml:space="preserve"/>
        </x:is>
      </x:c>
      <x:c r="AA35" s="15" t="inlineStr">
        <x:is>
          <x:t xml:space="preserve"/>
        </x:is>
      </x:c>
      <x:c r="AB35" s="15" t="inlineStr">
        <x:is>
          <x:t xml:space="preserve"/>
        </x:is>
      </x:c>
      <x:c r="AC35" s="15" t="inlineStr">
        <x:is>
          <x:t xml:space="preserve"/>
        </x:is>
      </x:c>
      <x:c r="AD35" s="15" t="inlineStr">
        <x:is>
          <x:t xml:space="preserve"/>
        </x:is>
      </x:c>
    </x:row>
  </x:sheetData>
  <x:mergeCells>
    <x:mergeCell ref="A2:AG2"/>
    <x:mergeCell ref="A1:AG1"/>
  </x:mergeCells>
  <x:conditionalFormatting sqref="G5:AD35">
    <x:cfRule type="expression" dxfId="6" priority="1">
      <x:formula>=AND(G$4&gt;=$E5,G$4&lt;=$F5)</x:formula>
    </x:cfRule>
  </x:conditionalFormatting>
  <x:pageMargins left="0.7" right="0.7" top="0.75" bottom="0.75" header="0.3" footer="0.3"/>
</x:worksheet>
</file>